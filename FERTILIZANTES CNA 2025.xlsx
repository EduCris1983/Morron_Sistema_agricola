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Desktop\ALEX NIKLITSCHEK\FERTILIZANTES CNA 2025\"/>
    </mc:Choice>
  </mc:AlternateContent>
  <xr:revisionPtr revIDLastSave="0" documentId="13_ncr:1_{D49BE574-C042-407D-896B-3184957732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RT CNA 2025" sheetId="13" r:id="rId1"/>
    <sheet name="RESUMEN PAGOS 2025" sheetId="14" r:id="rId2"/>
    <sheet name="FERT CNA 2026" sheetId="15" r:id="rId3"/>
    <sheet name="Hoja1" sheetId="16" r:id="rId4"/>
  </sheets>
  <externalReferences>
    <externalReference r:id="rId5"/>
  </externalReferences>
  <definedNames>
    <definedName name="ENTREGA">[1]Export!$A$1:$L$158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6" l="1"/>
  <c r="N3" i="16" s="1"/>
  <c r="G3" i="16"/>
  <c r="H3" i="16" s="1"/>
  <c r="L2" i="16"/>
  <c r="N2" i="16" s="1"/>
  <c r="G2" i="16"/>
  <c r="H2" i="16" s="1"/>
  <c r="I24" i="13"/>
  <c r="J24" i="13" s="1"/>
  <c r="N24" i="13"/>
  <c r="I25" i="13"/>
  <c r="J25" i="13" s="1"/>
  <c r="N25" i="13"/>
  <c r="O25" i="13" s="1"/>
  <c r="I26" i="13"/>
  <c r="J26" i="13" s="1"/>
  <c r="N26" i="13"/>
  <c r="O26" i="13" s="1"/>
  <c r="I27" i="13"/>
  <c r="J27" i="13" s="1"/>
  <c r="N27" i="13"/>
  <c r="O27" i="13" s="1"/>
  <c r="I28" i="13"/>
  <c r="J28" i="13" s="1"/>
  <c r="N28" i="13"/>
  <c r="O28" i="13" s="1"/>
  <c r="I29" i="13"/>
  <c r="J29" i="13" s="1"/>
  <c r="N29" i="13"/>
  <c r="O29" i="13" s="1"/>
  <c r="I30" i="13"/>
  <c r="J30" i="13" s="1"/>
  <c r="N30" i="13"/>
  <c r="O30" i="13" s="1"/>
  <c r="I22" i="13"/>
  <c r="J22" i="13"/>
  <c r="N22" i="13"/>
  <c r="O22" i="13" s="1"/>
  <c r="P22" i="13" s="1"/>
  <c r="K24" i="14"/>
  <c r="P30" i="13" l="1"/>
  <c r="P28" i="13"/>
  <c r="P27" i="13"/>
  <c r="P26" i="13"/>
  <c r="O24" i="13"/>
  <c r="P24" i="13" s="1"/>
  <c r="P25" i="13"/>
  <c r="P29" i="13"/>
  <c r="K27" i="14"/>
  <c r="K26" i="14"/>
  <c r="K28" i="14"/>
  <c r="K14" i="14"/>
  <c r="M8" i="15"/>
  <c r="M9" i="15"/>
  <c r="N9" i="15" s="1"/>
  <c r="O9" i="15" s="1"/>
  <c r="M10" i="15"/>
  <c r="N10" i="15" s="1"/>
  <c r="M11" i="15"/>
  <c r="N11" i="15" s="1"/>
  <c r="M12" i="15"/>
  <c r="M13" i="15"/>
  <c r="M14" i="15"/>
  <c r="M15" i="15"/>
  <c r="N15" i="15" s="1"/>
  <c r="O15" i="15" s="1"/>
  <c r="M16" i="15"/>
  <c r="N16" i="15" s="1"/>
  <c r="O16" i="15" s="1"/>
  <c r="M17" i="15"/>
  <c r="N17" i="15" s="1"/>
  <c r="O17" i="15" s="1"/>
  <c r="M18" i="15"/>
  <c r="N18" i="15" s="1"/>
  <c r="M19" i="15"/>
  <c r="N19" i="15" s="1"/>
  <c r="O19" i="15" s="1"/>
  <c r="M20" i="15"/>
  <c r="M21" i="15"/>
  <c r="O21" i="15" s="1"/>
  <c r="M22" i="15"/>
  <c r="O20" i="15"/>
  <c r="O22" i="15"/>
  <c r="H8" i="15"/>
  <c r="I8" i="15" s="1"/>
  <c r="H9" i="15"/>
  <c r="I9" i="15" s="1"/>
  <c r="H10" i="15"/>
  <c r="I10" i="15" s="1"/>
  <c r="H11" i="15"/>
  <c r="I11" i="15" s="1"/>
  <c r="H12" i="15"/>
  <c r="I12" i="15" s="1"/>
  <c r="H13" i="15"/>
  <c r="I13" i="15" s="1"/>
  <c r="H14" i="15"/>
  <c r="I14" i="15" s="1"/>
  <c r="H15" i="15"/>
  <c r="I15" i="15" s="1"/>
  <c r="H16" i="15"/>
  <c r="I16" i="15" s="1"/>
  <c r="H17" i="15"/>
  <c r="I17" i="15" s="1"/>
  <c r="H18" i="15"/>
  <c r="I18" i="15" s="1"/>
  <c r="H19" i="15"/>
  <c r="H20" i="15"/>
  <c r="I20" i="15" s="1"/>
  <c r="H21" i="15"/>
  <c r="I21" i="15" s="1"/>
  <c r="H22" i="15"/>
  <c r="I22" i="15" s="1"/>
  <c r="I19" i="15"/>
  <c r="M7" i="15"/>
  <c r="H7" i="15"/>
  <c r="I7" i="15" s="1"/>
  <c r="O30" i="15"/>
  <c r="N30" i="15"/>
  <c r="M30" i="15"/>
  <c r="H30" i="15"/>
  <c r="I30" i="15" s="1"/>
  <c r="M29" i="15"/>
  <c r="H29" i="15"/>
  <c r="I29" i="15" s="1"/>
  <c r="N28" i="15"/>
  <c r="O28" i="15" s="1"/>
  <c r="M28" i="15"/>
  <c r="H28" i="15"/>
  <c r="I28" i="15" s="1"/>
  <c r="M27" i="15"/>
  <c r="N27" i="15" s="1"/>
  <c r="O27" i="15" s="1"/>
  <c r="H27" i="15"/>
  <c r="I27" i="15" s="1"/>
  <c r="M26" i="15"/>
  <c r="I26" i="15"/>
  <c r="H26" i="15"/>
  <c r="M25" i="15"/>
  <c r="H25" i="15"/>
  <c r="I25" i="15" s="1"/>
  <c r="N24" i="15"/>
  <c r="O24" i="15" s="1"/>
  <c r="M24" i="15"/>
  <c r="H24" i="15"/>
  <c r="I24" i="15" s="1"/>
  <c r="M23" i="15"/>
  <c r="N23" i="15" s="1"/>
  <c r="O23" i="15" s="1"/>
  <c r="H23" i="15"/>
  <c r="I23" i="15" s="1"/>
  <c r="N37" i="13"/>
  <c r="I37" i="13"/>
  <c r="J37" i="13" s="1"/>
  <c r="N36" i="13"/>
  <c r="I36" i="13"/>
  <c r="J36" i="13" s="1"/>
  <c r="N35" i="13"/>
  <c r="I35" i="13"/>
  <c r="J35" i="13" s="1"/>
  <c r="N34" i="13"/>
  <c r="O34" i="13" s="1"/>
  <c r="P34" i="13" s="1"/>
  <c r="I34" i="13"/>
  <c r="J34" i="13" s="1"/>
  <c r="N33" i="13"/>
  <c r="I33" i="13"/>
  <c r="J33" i="13" s="1"/>
  <c r="N32" i="13"/>
  <c r="O32" i="13" s="1"/>
  <c r="I32" i="13"/>
  <c r="J32" i="13" s="1"/>
  <c r="N31" i="13"/>
  <c r="O31" i="13" s="1"/>
  <c r="I31" i="13"/>
  <c r="J31" i="13" s="1"/>
  <c r="N23" i="13"/>
  <c r="I23" i="13"/>
  <c r="J23" i="13" s="1"/>
  <c r="N21" i="13"/>
  <c r="I21" i="13"/>
  <c r="J21" i="13" s="1"/>
  <c r="N20" i="13"/>
  <c r="I20" i="13"/>
  <c r="J20" i="13" s="1"/>
  <c r="N19" i="13"/>
  <c r="I19" i="13"/>
  <c r="J19" i="13" s="1"/>
  <c r="O18" i="15" l="1"/>
  <c r="P18" i="15" s="1"/>
  <c r="N14" i="15"/>
  <c r="O14" i="15" s="1"/>
  <c r="N12" i="15"/>
  <c r="O12" i="15" s="1"/>
  <c r="O11" i="15"/>
  <c r="N13" i="15"/>
  <c r="O13" i="15" s="1"/>
  <c r="P13" i="15" s="1"/>
  <c r="N8" i="15"/>
  <c r="O8" i="15" s="1"/>
  <c r="O10" i="15"/>
  <c r="J3" i="15"/>
  <c r="N7" i="15"/>
  <c r="O7" i="15" s="1"/>
  <c r="O26" i="15"/>
  <c r="O29" i="15"/>
  <c r="N25" i="15"/>
  <c r="O25" i="15" s="1"/>
  <c r="N29" i="15"/>
  <c r="N26" i="15"/>
  <c r="P32" i="13"/>
  <c r="O36" i="13"/>
  <c r="P36" i="13" s="1"/>
  <c r="O35" i="13"/>
  <c r="P35" i="13" s="1"/>
  <c r="O37" i="13"/>
  <c r="P37" i="13" s="1"/>
  <c r="O33" i="13"/>
  <c r="P33" i="13" s="1"/>
  <c r="O23" i="13"/>
  <c r="P23" i="13" s="1"/>
  <c r="P31" i="13"/>
  <c r="O19" i="13"/>
  <c r="P19" i="13" s="1"/>
  <c r="O20" i="13"/>
  <c r="P20" i="13" s="1"/>
  <c r="O21" i="13"/>
  <c r="P21" i="13" s="1"/>
  <c r="I14" i="13" l="1"/>
  <c r="J14" i="13" s="1"/>
  <c r="N14" i="13"/>
  <c r="O14" i="13" s="1"/>
  <c r="I13" i="13"/>
  <c r="J13" i="13" s="1"/>
  <c r="N13" i="13"/>
  <c r="O13" i="13" s="1"/>
  <c r="P13" i="13" s="1"/>
  <c r="P14" i="13" l="1"/>
  <c r="I12" i="13" l="1"/>
  <c r="J12" i="13" s="1"/>
  <c r="I16" i="13"/>
  <c r="J16" i="13" s="1"/>
  <c r="I17" i="13"/>
  <c r="J17" i="13" s="1"/>
  <c r="I18" i="13"/>
  <c r="J18" i="13" s="1"/>
  <c r="N18" i="13"/>
  <c r="O18" i="13" s="1"/>
  <c r="P18" i="13" s="1"/>
  <c r="N17" i="13"/>
  <c r="N16" i="13"/>
  <c r="N12" i="13"/>
  <c r="O12" i="13" s="1"/>
  <c r="P12" i="13" s="1"/>
  <c r="N11" i="13"/>
  <c r="I11" i="13"/>
  <c r="J11" i="13" s="1"/>
  <c r="N10" i="13"/>
  <c r="I10" i="13"/>
  <c r="J10" i="13" s="1"/>
  <c r="I9" i="13"/>
  <c r="J9" i="13" s="1"/>
  <c r="N9" i="13"/>
  <c r="N8" i="13"/>
  <c r="O8" i="13" s="1"/>
  <c r="I8" i="13"/>
  <c r="J8" i="13" s="1"/>
  <c r="N7" i="13"/>
  <c r="I7" i="13"/>
  <c r="J7" i="13" s="1"/>
  <c r="K3" i="13" l="1"/>
  <c r="O16" i="13"/>
  <c r="P16" i="13" s="1"/>
  <c r="O17" i="13"/>
  <c r="P17" i="13" s="1"/>
  <c r="O10" i="13"/>
  <c r="P10" i="13" s="1"/>
  <c r="O11" i="13"/>
  <c r="P11" i="13" s="1"/>
  <c r="O7" i="13"/>
  <c r="P7" i="13" s="1"/>
  <c r="O9" i="13"/>
  <c r="P9" i="13" s="1"/>
  <c r="P8" i="13"/>
  <c r="P19" i="14" l="1"/>
</calcChain>
</file>

<file path=xl/sharedStrings.xml><?xml version="1.0" encoding="utf-8"?>
<sst xmlns="http://schemas.openxmlformats.org/spreadsheetml/2006/main" count="217" uniqueCount="130">
  <si>
    <t>PRODUCTO</t>
  </si>
  <si>
    <t>CLIENTE</t>
  </si>
  <si>
    <t>VENTA</t>
  </si>
  <si>
    <t>MOTIVO</t>
  </si>
  <si>
    <t>Cuota</t>
  </si>
  <si>
    <t>RUT Cliente</t>
  </si>
  <si>
    <t>Razón Social</t>
  </si>
  <si>
    <t>Fe. Emisión</t>
  </si>
  <si>
    <t>Fe. Vencimiento</t>
  </si>
  <si>
    <t xml:space="preserve">Monto CxC </t>
  </si>
  <si>
    <t>GANADERA ENTRE RIOS LIMITADA</t>
  </si>
  <si>
    <t>Folio</t>
  </si>
  <si>
    <t>DEUDA</t>
  </si>
  <si>
    <t>UNIMARC 3 DE 3</t>
  </si>
  <si>
    <t>125 Kg DE CONCENTRADO</t>
  </si>
  <si>
    <t>LECHE EN POLVO - BOTAS 2 DE 3</t>
  </si>
  <si>
    <t>PAGO ENCOMIENDA 1</t>
  </si>
  <si>
    <t>PAGO ENCOMIENDA 2</t>
  </si>
  <si>
    <t>TELÉFONO</t>
  </si>
  <si>
    <t>FERRETERIA MORIAH 1 DE 3</t>
  </si>
  <si>
    <t xml:space="preserve">COSTO </t>
  </si>
  <si>
    <t>JORGE AMERICO ALBRECHT VIDAL</t>
  </si>
  <si>
    <t>RUT</t>
  </si>
  <si>
    <t>13.590.446-5</t>
  </si>
  <si>
    <t>MONOGRANO 10-20-20</t>
  </si>
  <si>
    <t>PLAZO SIN INTERES</t>
  </si>
  <si>
    <t>VENCE FACTURA</t>
  </si>
  <si>
    <t>NETO A FACTURAR</t>
  </si>
  <si>
    <t>$</t>
  </si>
  <si>
    <t>TOTAL COMISION</t>
  </si>
  <si>
    <t>NETO SIN INTERES</t>
  </si>
  <si>
    <t>FACTOR</t>
  </si>
  <si>
    <t>Márgen acumulado</t>
  </si>
  <si>
    <t xml:space="preserve"> INTERESES</t>
  </si>
  <si>
    <t>MEZCLAS</t>
  </si>
  <si>
    <t>SQM</t>
  </si>
  <si>
    <t>VITRA</t>
  </si>
  <si>
    <t>8-25-15</t>
  </si>
  <si>
    <t>5-22-12</t>
  </si>
  <si>
    <t>8-25-15-0,1B-0,1zN Recubierta</t>
  </si>
  <si>
    <t>$ANTERIOR</t>
  </si>
  <si>
    <t>GABRIEL SEGUNDO GODOY OJEDA</t>
  </si>
  <si>
    <t>MICROTEC 8-25-15-2Mg-5S-3CaO-0,2B-0,2Zn-impregnado</t>
  </si>
  <si>
    <t>Muriato de potasio</t>
  </si>
  <si>
    <t>8.163.012-7</t>
  </si>
  <si>
    <t>Polisulfato</t>
  </si>
  <si>
    <t>SUBIABRE CARCAMO VICTOR RODOLFO</t>
  </si>
  <si>
    <t>10.528.759-3</t>
  </si>
  <si>
    <t>Mezcla 10-20-10-0-11 x 25 Kg</t>
  </si>
  <si>
    <t>Urea granulada 46% Maxi 500</t>
  </si>
  <si>
    <t>CLAUDIO HERNAN ARZOLA RUIZ</t>
  </si>
  <si>
    <t>9.809.180-7</t>
  </si>
  <si>
    <t>MEZCLA 5-30-15</t>
  </si>
  <si>
    <t>UREA GRANULADA 46% MAXI</t>
  </si>
  <si>
    <t>77.793.360-4</t>
  </si>
  <si>
    <t>AGROPECUARIA LAS NALCAS</t>
  </si>
  <si>
    <t>4.729.257-3</t>
  </si>
  <si>
    <t>NEFTALI SOTO BOHLE</t>
  </si>
  <si>
    <t>14.463.428-4</t>
  </si>
  <si>
    <t>ARTURO SOTO MANSILLA</t>
  </si>
  <si>
    <t>14.225.374-7</t>
  </si>
  <si>
    <t>RODRIGO PEREZ RODRIGUEZ</t>
  </si>
  <si>
    <t>12.934.276-5</t>
  </si>
  <si>
    <t>JAVIER NIKLITSCHEK PAREDES</t>
  </si>
  <si>
    <t>13.117.044-0</t>
  </si>
  <si>
    <t>RODRIGO WESTERMEIER KLEIN</t>
  </si>
  <si>
    <t>13.590.445-5</t>
  </si>
  <si>
    <t>JORGE ALBRECHT VIDAL</t>
  </si>
  <si>
    <t>76.207.174-6</t>
  </si>
  <si>
    <t>Urea Smart 35 Blue</t>
  </si>
  <si>
    <t>WESTERMEIER KLEIN RODRIGO JOAQUIN</t>
  </si>
  <si>
    <t>10528759-3</t>
  </si>
  <si>
    <t>9809180-7</t>
  </si>
  <si>
    <t>CLAUDIO ARZOLA RUIZ</t>
  </si>
  <si>
    <t>VICTOR SUBIABRE CARCAMO</t>
  </si>
  <si>
    <t>8163012-7</t>
  </si>
  <si>
    <t>8163012-8</t>
  </si>
  <si>
    <t>4875963-7</t>
  </si>
  <si>
    <t>AUGUSTO SUBIABRE BORQUEZ</t>
  </si>
  <si>
    <t>KG / LTS / TON</t>
  </si>
  <si>
    <t>4.875.963-7</t>
  </si>
  <si>
    <t>MEZCLA 8-25-15 S/R S/Y</t>
  </si>
  <si>
    <t>HECTOR DEL CAMPO ROJAS</t>
  </si>
  <si>
    <t>6.978.142-K</t>
  </si>
  <si>
    <t>MZ 11-30-11-5S</t>
  </si>
  <si>
    <t>MZ 7-33-14-4Mg-2S</t>
  </si>
  <si>
    <t>7.086.013-9</t>
  </si>
  <si>
    <t>JUVENAL EDISON VASQUEZARANEDA</t>
  </si>
  <si>
    <t>JAVIER ANTONIO KLEIN SCHWERTER</t>
  </si>
  <si>
    <t>17.999.962-5</t>
  </si>
  <si>
    <t>5-22-12-2Mg-7S-11Ca-0.3B-0.3Zn</t>
  </si>
  <si>
    <t>MICROTEC</t>
  </si>
  <si>
    <t>11-04.2027</t>
  </si>
  <si>
    <t>SOCIEDAD AGRICOLA LLICO ALTO LTDA</t>
  </si>
  <si>
    <t>76.783.529-9</t>
  </si>
  <si>
    <t>GANADERA ENTRE RIOS LTDA</t>
  </si>
  <si>
    <t>Abono</t>
  </si>
  <si>
    <t>Monto Prorroga</t>
  </si>
  <si>
    <t>Fecha Prorroga</t>
  </si>
  <si>
    <t>Estado Deuda</t>
  </si>
  <si>
    <t>PAGADA</t>
  </si>
  <si>
    <t>MAYAL 201 DOLOMITA-SULFATO 70/30</t>
  </si>
  <si>
    <t>PAREDES GONZALEZ VICTOR EDUARDO</t>
  </si>
  <si>
    <t>18.735.281-9</t>
  </si>
  <si>
    <t>SMART BLEND 8-25-15 SIN R/SIN Y</t>
  </si>
  <si>
    <t>FREDY ALEJANDRO ANDRADE SCHWENCKE</t>
  </si>
  <si>
    <t>15.508.851-6</t>
  </si>
  <si>
    <t>JUVENAL EDISON VASQUEZ ARANEDA</t>
  </si>
  <si>
    <t>Smartblend 8-28-15</t>
  </si>
  <si>
    <t>Fertitec 21</t>
  </si>
  <si>
    <t>Smartblend 8-25-15</t>
  </si>
  <si>
    <t>smartblend 8-28-15</t>
  </si>
  <si>
    <t>smartblend 22-19-10</t>
  </si>
  <si>
    <t>4-729.257-3</t>
  </si>
  <si>
    <t>Microtec 8-25-15</t>
  </si>
  <si>
    <t>ARTURO ALEJANDRO SOTO MANSILLA</t>
  </si>
  <si>
    <t>RODRIGO HERIBERTO PEREZ RODRIGUEZ</t>
  </si>
  <si>
    <t>JAVIER MAURICIO NIKLITSCHEK PAREDES</t>
  </si>
  <si>
    <t>Smartblend 10-32.18</t>
  </si>
  <si>
    <t>AUGUSTO RODRIGO SUBIABRE BORQUEZ</t>
  </si>
  <si>
    <t>Smartblend 15-30-15</t>
  </si>
  <si>
    <t>AGRICOLA CAMARO LTDA</t>
  </si>
  <si>
    <t>76.410.945-7</t>
  </si>
  <si>
    <t>Smartblend 6-25-15</t>
  </si>
  <si>
    <t>Smartblen 6-25-15</t>
  </si>
  <si>
    <t>FOLIO</t>
  </si>
  <si>
    <t>SOSERVIFOR LIMITADA</t>
  </si>
  <si>
    <t>78.358.340-2</t>
  </si>
  <si>
    <t>UREASMART 40-6</t>
  </si>
  <si>
    <t>SMARTBLEND 8-25-15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</si>
</sst>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ptos Narrow"/>
      <family val="2"/>
    </font>
    <font>
      <sz val="2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2" fontId="2" fillId="0" borderId="0" applyFont="0" applyFill="0" applyBorder="0" applyAlignment="0" applyProtection="0"/>
    <xf numFmtId="0" fontId="4" fillId="0" borderId="0"/>
    <xf numFmtId="41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5" fillId="0" borderId="0" xfId="0" applyFont="1"/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14" fontId="7" fillId="0" borderId="7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2" fontId="0" fillId="0" borderId="1" xfId="3" applyNumberFormat="1" applyFont="1" applyBorder="1"/>
    <xf numFmtId="42" fontId="0" fillId="0" borderId="1" xfId="1" applyFont="1" applyBorder="1"/>
    <xf numFmtId="42" fontId="0" fillId="0" borderId="1" xfId="0" applyNumberFormat="1" applyBorder="1"/>
    <xf numFmtId="42" fontId="1" fillId="0" borderId="1" xfId="0" applyNumberFormat="1" applyFont="1" applyBorder="1"/>
    <xf numFmtId="14" fontId="0" fillId="0" borderId="1" xfId="0" applyNumberFormat="1" applyBorder="1" applyAlignment="1">
      <alignment horizontal="center"/>
    </xf>
    <xf numFmtId="9" fontId="0" fillId="0" borderId="1" xfId="4" applyFont="1" applyBorder="1" applyAlignment="1">
      <alignment horizontal="center"/>
    </xf>
    <xf numFmtId="42" fontId="0" fillId="2" borderId="1" xfId="1" applyFont="1" applyFill="1" applyBorder="1" applyAlignment="1">
      <alignment horizontal="center"/>
    </xf>
    <xf numFmtId="0" fontId="1" fillId="0" borderId="1" xfId="0" applyFont="1" applyBorder="1"/>
    <xf numFmtId="42" fontId="7" fillId="0" borderId="4" xfId="1" applyFont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14" fontId="7" fillId="3" borderId="3" xfId="0" applyNumberFormat="1" applyFont="1" applyFill="1" applyBorder="1" applyAlignment="1">
      <alignment horizontal="center" vertical="center"/>
    </xf>
    <xf numFmtId="14" fontId="7" fillId="3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42" fontId="0" fillId="3" borderId="1" xfId="1" applyFont="1" applyFill="1" applyBorder="1"/>
    <xf numFmtId="14" fontId="0" fillId="3" borderId="1" xfId="0" applyNumberFormat="1" applyFill="1" applyBorder="1" applyAlignment="1">
      <alignment horizontal="center"/>
    </xf>
    <xf numFmtId="9" fontId="0" fillId="3" borderId="1" xfId="4" applyFont="1" applyFill="1" applyBorder="1" applyAlignment="1">
      <alignment horizontal="center"/>
    </xf>
    <xf numFmtId="42" fontId="0" fillId="3" borderId="1" xfId="0" applyNumberFormat="1" applyFill="1" applyBorder="1"/>
    <xf numFmtId="42" fontId="0" fillId="0" borderId="0" xfId="0" applyNumberFormat="1"/>
    <xf numFmtId="0" fontId="6" fillId="0" borderId="7" xfId="0" applyFont="1" applyBorder="1" applyAlignment="1">
      <alignment horizontal="center" vertical="center"/>
    </xf>
    <xf numFmtId="42" fontId="7" fillId="0" borderId="8" xfId="1" applyFont="1" applyBorder="1" applyAlignment="1">
      <alignment vertical="center"/>
    </xf>
    <xf numFmtId="42" fontId="7" fillId="3" borderId="8" xfId="1" applyFont="1" applyFill="1" applyBorder="1" applyAlignment="1">
      <alignment vertical="center"/>
    </xf>
    <xf numFmtId="0" fontId="0" fillId="0" borderId="4" xfId="0" applyBorder="1"/>
    <xf numFmtId="42" fontId="6" fillId="0" borderId="8" xfId="1" applyFont="1" applyBorder="1" applyAlignment="1">
      <alignment vertical="center"/>
    </xf>
    <xf numFmtId="0" fontId="7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41" fontId="7" fillId="4" borderId="3" xfId="3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14" fontId="7" fillId="4" borderId="3" xfId="0" applyNumberFormat="1" applyFont="1" applyFill="1" applyBorder="1" applyAlignment="1">
      <alignment horizontal="center" vertical="center"/>
    </xf>
    <xf numFmtId="14" fontId="7" fillId="4" borderId="2" xfId="0" applyNumberFormat="1" applyFont="1" applyFill="1" applyBorder="1" applyAlignment="1">
      <alignment horizontal="center" vertical="center"/>
    </xf>
    <xf numFmtId="42" fontId="7" fillId="4" borderId="8" xfId="1" applyFont="1" applyFill="1" applyBorder="1" applyAlignment="1">
      <alignment vertical="center"/>
    </xf>
    <xf numFmtId="42" fontId="6" fillId="4" borderId="8" xfId="1" applyFont="1" applyFill="1" applyBorder="1" applyAlignment="1">
      <alignment vertical="center"/>
    </xf>
    <xf numFmtId="0" fontId="0" fillId="4" borderId="4" xfId="0" applyFill="1" applyBorder="1"/>
    <xf numFmtId="0" fontId="6" fillId="4" borderId="4" xfId="0" applyFont="1" applyFill="1" applyBorder="1" applyAlignment="1">
      <alignment horizontal="center" vertical="center"/>
    </xf>
    <xf numFmtId="14" fontId="6" fillId="4" borderId="3" xfId="0" applyNumberFormat="1" applyFont="1" applyFill="1" applyBorder="1" applyAlignment="1">
      <alignment horizontal="center" vertical="center"/>
    </xf>
    <xf numFmtId="14" fontId="6" fillId="4" borderId="2" xfId="0" applyNumberFormat="1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14" fontId="7" fillId="4" borderId="6" xfId="0" applyNumberFormat="1" applyFont="1" applyFill="1" applyBorder="1" applyAlignment="1">
      <alignment horizontal="center" vertical="center"/>
    </xf>
    <xf numFmtId="14" fontId="7" fillId="4" borderId="7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42" fontId="6" fillId="2" borderId="8" xfId="1" applyFont="1" applyFill="1" applyBorder="1" applyAlignment="1">
      <alignment vertical="center"/>
    </xf>
    <xf numFmtId="14" fontId="1" fillId="2" borderId="4" xfId="0" applyNumberFormat="1" applyFont="1" applyFill="1" applyBorder="1"/>
    <xf numFmtId="0" fontId="1" fillId="2" borderId="4" xfId="0" applyFont="1" applyFill="1" applyBorder="1"/>
    <xf numFmtId="0" fontId="8" fillId="0" borderId="0" xfId="0" applyFont="1"/>
    <xf numFmtId="14" fontId="1" fillId="4" borderId="4" xfId="0" applyNumberFormat="1" applyFont="1" applyFill="1" applyBorder="1"/>
    <xf numFmtId="0" fontId="6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</cellXfs>
  <cellStyles count="5">
    <cellStyle name="Millares [0]" xfId="3" builtinId="6"/>
    <cellStyle name="Moneda [0]" xfId="1" builtinId="7"/>
    <cellStyle name="Normal" xfId="0" builtinId="0"/>
    <cellStyle name="Normal 2" xfId="2" xr:uid="{4BADFD71-9C68-483D-A50B-F9622F20F9BD}"/>
    <cellStyle name="Porcentaje" xfId="4" builtinId="5"/>
  </cellStyles>
  <dxfs count="0"/>
  <tableStyles count="0" defaultTableStyle="TableStyleMedium2" defaultPivotStyle="PivotStyleLight16"/>
  <colors>
    <mruColors>
      <color rgb="FF00FFCC"/>
      <color rgb="FFFF99CC"/>
      <color rgb="FFFF99FF"/>
      <color rgb="FF6699FF"/>
      <color rgb="FF669900"/>
      <color rgb="FFCC3300"/>
      <color rgb="FFFFCC00"/>
      <color rgb="FFFF0066"/>
      <color rgb="FF008000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ossa-my.sharepoint.com/personal/aniklitschek_ferosor_cl/Documents/Desktop/PRESUPUESTOS/Presupuesto%20vendedores%202025/05%20Presupuesto%20Vendedor%202025%20-%20PU.xlsx" TargetMode="External"/><Relationship Id="rId1" Type="http://schemas.openxmlformats.org/officeDocument/2006/relationships/externalLinkPath" Target="https://fossa-my.sharepoint.com/personal/aniklitschek_ferosor_cl/Documents/Desktop/PRESUPUESTOS/Presupuesto%20vendedores%202025/05%20Presupuesto%20Vendedor%202025%20-%20P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-10"/>
      <sheetName val="Export"/>
      <sheetName val="PROY. CIERRE"/>
    </sheetNames>
    <sheetDataSet>
      <sheetData sheetId="0"/>
      <sheetData sheetId="1">
        <row r="1">
          <cell r="A1" t="str">
            <v>BUSCADOR</v>
          </cell>
          <cell r="B1" t="str">
            <v>Rut</v>
          </cell>
          <cell r="C1" t="str">
            <v>Vendedor</v>
          </cell>
          <cell r="D1" t="str">
            <v>Personalizado</v>
          </cell>
          <cell r="E1" t="str">
            <v>Entrega Año Ant.</v>
          </cell>
          <cell r="F1" t="str">
            <v>Ppto. Vend.</v>
          </cell>
          <cell r="G1" t="str">
            <v>Entrega</v>
          </cell>
          <cell r="H1" t="str">
            <v>%Av. Vend.</v>
          </cell>
          <cell r="I1" t="str">
            <v>%Var. AñoAnt</v>
          </cell>
          <cell r="J1" t="str">
            <v>Ppto Margen</v>
          </cell>
          <cell r="K1" t="str">
            <v>Margen Entrega</v>
          </cell>
          <cell r="L1" t="str">
            <v>% Av. Margen</v>
          </cell>
        </row>
        <row r="2">
          <cell r="A2" t="str">
            <v>14085650-9LN-20 FERTIL</v>
          </cell>
          <cell r="B2" t="str">
            <v>14085650-9</v>
          </cell>
          <cell r="C2" t="str">
            <v>FRANCISCO GOMEZ</v>
          </cell>
          <cell r="D2" t="str">
            <v>LN-20 FERTIL</v>
          </cell>
          <cell r="E2">
            <v>1143579071</v>
          </cell>
          <cell r="F2">
            <v>1338035322.9999998</v>
          </cell>
          <cell r="G2">
            <v>1497916875</v>
          </cell>
          <cell r="H2">
            <v>1.1194897842020575</v>
          </cell>
          <cell r="I2">
            <v>1.3098498503388578</v>
          </cell>
          <cell r="J2">
            <v>93260673.27449663</v>
          </cell>
          <cell r="K2">
            <v>85624555</v>
          </cell>
          <cell r="L2">
            <v>0.91812070397539336</v>
          </cell>
        </row>
        <row r="3">
          <cell r="A3" t="str">
            <v>14085650-9LN-02 NUTRIC</v>
          </cell>
          <cell r="B3" t="str">
            <v>14085650-9</v>
          </cell>
          <cell r="C3" t="str">
            <v>FRANCISCO GOMEZ</v>
          </cell>
          <cell r="D3" t="str">
            <v>LN-02 NUTRIC</v>
          </cell>
          <cell r="E3">
            <v>895701862</v>
          </cell>
          <cell r="F3">
            <v>1181054099.9388437</v>
          </cell>
          <cell r="G3">
            <v>807490864</v>
          </cell>
          <cell r="H3">
            <v>0.68370353571594455</v>
          </cell>
          <cell r="I3">
            <v>0.90151745603940703</v>
          </cell>
          <cell r="J3">
            <v>81610705.095970526</v>
          </cell>
          <cell r="K3">
            <v>43105244</v>
          </cell>
          <cell r="L3">
            <v>0.52818124716984327</v>
          </cell>
        </row>
        <row r="4">
          <cell r="A4" t="str">
            <v>14085650-9LN-01 AGROIN</v>
          </cell>
          <cell r="B4" t="str">
            <v>14085650-9</v>
          </cell>
          <cell r="C4" t="str">
            <v>FRANCISCO GOMEZ</v>
          </cell>
          <cell r="D4" t="str">
            <v>LN-01 AGROIN</v>
          </cell>
          <cell r="E4">
            <v>270197674</v>
          </cell>
          <cell r="F4">
            <v>367189375</v>
          </cell>
          <cell r="G4">
            <v>213212111</v>
          </cell>
          <cell r="H4">
            <v>0.58065980531163242</v>
          </cell>
          <cell r="I4">
            <v>0.78909676698401188</v>
          </cell>
          <cell r="J4">
            <v>41910754.943931893</v>
          </cell>
          <cell r="K4">
            <v>20203535</v>
          </cell>
          <cell r="L4">
            <v>0.4820608702236035</v>
          </cell>
        </row>
        <row r="5">
          <cell r="A5" t="str">
            <v>14085650-9LN-03 MAQUIN</v>
          </cell>
          <cell r="B5" t="str">
            <v>14085650-9</v>
          </cell>
          <cell r="C5" t="str">
            <v>FRANCISCO GOMEZ</v>
          </cell>
          <cell r="D5" t="str">
            <v>LN-03 MAQUIN</v>
          </cell>
          <cell r="E5">
            <v>208131612</v>
          </cell>
          <cell r="F5">
            <v>386521474.5</v>
          </cell>
          <cell r="G5">
            <v>170678305</v>
          </cell>
          <cell r="H5">
            <v>0.44157521964539642</v>
          </cell>
          <cell r="I5">
            <v>0.82004988747216356</v>
          </cell>
          <cell r="J5">
            <v>77421274.171001092</v>
          </cell>
          <cell r="K5">
            <v>41384414</v>
          </cell>
          <cell r="L5">
            <v>0.53453542896483286</v>
          </cell>
        </row>
        <row r="6">
          <cell r="A6" t="str">
            <v>14085650-9LN-05 FARMA</v>
          </cell>
          <cell r="B6" t="str">
            <v>14085650-9</v>
          </cell>
          <cell r="C6" t="str">
            <v>FRANCISCO GOMEZ</v>
          </cell>
          <cell r="D6" t="str">
            <v>LN-05 FARMA</v>
          </cell>
          <cell r="E6">
            <v>20714808</v>
          </cell>
          <cell r="F6">
            <v>29409798.2152</v>
          </cell>
          <cell r="G6">
            <v>32478219</v>
          </cell>
          <cell r="H6">
            <v>1.104333282477747</v>
          </cell>
          <cell r="I6">
            <v>1.5678744886266867</v>
          </cell>
          <cell r="J6">
            <v>4125232.9488528175</v>
          </cell>
          <cell r="K6">
            <v>4451498</v>
          </cell>
          <cell r="L6">
            <v>1.0790900914426937</v>
          </cell>
        </row>
        <row r="7">
          <cell r="A7" t="str">
            <v>14085650-9LN-07 FERRET</v>
          </cell>
          <cell r="B7" t="str">
            <v>14085650-9</v>
          </cell>
          <cell r="C7" t="str">
            <v>FRANCISCO GOMEZ</v>
          </cell>
          <cell r="D7" t="str">
            <v>LN-07 FERRET</v>
          </cell>
          <cell r="E7">
            <v>50734282</v>
          </cell>
          <cell r="F7">
            <v>56167061.120000005</v>
          </cell>
          <cell r="G7">
            <v>31660308</v>
          </cell>
          <cell r="H7">
            <v>0.56368105022191339</v>
          </cell>
          <cell r="I7">
            <v>0.62404170812942616</v>
          </cell>
          <cell r="J7">
            <v>12198038.038208004</v>
          </cell>
          <cell r="K7">
            <v>6139077</v>
          </cell>
          <cell r="L7">
            <v>0.50328396917361007</v>
          </cell>
        </row>
        <row r="8">
          <cell r="A8" t="str">
            <v>14085650-9LN-09 REPUES</v>
          </cell>
          <cell r="B8" t="str">
            <v>14085650-9</v>
          </cell>
          <cell r="C8" t="str">
            <v>FRANCISCO GOMEZ</v>
          </cell>
          <cell r="D8" t="str">
            <v>LN-09 REPUES</v>
          </cell>
          <cell r="E8">
            <v>7017914</v>
          </cell>
          <cell r="F8">
            <v>8778555.8400000017</v>
          </cell>
          <cell r="G8">
            <v>20090159</v>
          </cell>
          <cell r="H8">
            <v>2.2885494341174</v>
          </cell>
          <cell r="I8">
            <v>2.8626966645644276</v>
          </cell>
          <cell r="J8">
            <v>2524735.1953125</v>
          </cell>
          <cell r="K8">
            <v>6502716</v>
          </cell>
          <cell r="L8">
            <v>2.5756031809090869</v>
          </cell>
        </row>
        <row r="9">
          <cell r="A9" t="str">
            <v>14085650-9LN-08 NEUMA</v>
          </cell>
          <cell r="B9" t="str">
            <v>14085650-9</v>
          </cell>
          <cell r="C9" t="str">
            <v>FRANCISCO GOMEZ</v>
          </cell>
          <cell r="D9" t="str">
            <v>LN-08 NEUMA</v>
          </cell>
          <cell r="E9">
            <v>18034259</v>
          </cell>
          <cell r="F9">
            <v>31809133.041000005</v>
          </cell>
          <cell r="G9">
            <v>11700276</v>
          </cell>
          <cell r="H9">
            <v>0.36782756653314214</v>
          </cell>
          <cell r="I9">
            <v>0.64878052377976825</v>
          </cell>
          <cell r="J9">
            <v>9350820.5478318334</v>
          </cell>
          <cell r="K9">
            <v>2925946</v>
          </cell>
          <cell r="L9">
            <v>0.31290794054201337</v>
          </cell>
        </row>
        <row r="10">
          <cell r="A10" t="str">
            <v>14085650-9</v>
          </cell>
          <cell r="B10" t="str">
            <v>14085650-9</v>
          </cell>
          <cell r="C10" t="str">
            <v>FRANCISCO GOMEZ</v>
          </cell>
          <cell r="G10">
            <v>186000</v>
          </cell>
          <cell r="H10">
            <v>0</v>
          </cell>
          <cell r="I10" t="str">
            <v>Infinity</v>
          </cell>
          <cell r="K10">
            <v>55581</v>
          </cell>
        </row>
        <row r="11">
          <cell r="A11" t="str">
            <v>14085650-9LN-06 COMBU</v>
          </cell>
          <cell r="B11" t="str">
            <v>14085650-9</v>
          </cell>
          <cell r="C11" t="str">
            <v>FRANCISCO GOMEZ</v>
          </cell>
          <cell r="D11" t="str">
            <v>LN-06 COMBU</v>
          </cell>
          <cell r="E11">
            <v>5040830</v>
          </cell>
          <cell r="G11">
            <v>77167</v>
          </cell>
          <cell r="H11">
            <v>0</v>
          </cell>
          <cell r="I11">
            <v>1.5308391673593436E-2</v>
          </cell>
          <cell r="K11">
            <v>15434</v>
          </cell>
        </row>
        <row r="12">
          <cell r="A12" t="str">
            <v>14085650-9Total</v>
          </cell>
          <cell r="B12" t="str">
            <v>14085650-9</v>
          </cell>
          <cell r="C12" t="str">
            <v>FRANCISCO GOMEZ</v>
          </cell>
          <cell r="D12" t="str">
            <v>Total</v>
          </cell>
          <cell r="E12">
            <v>2619152312</v>
          </cell>
          <cell r="F12">
            <v>3398964820.6550436</v>
          </cell>
          <cell r="G12">
            <v>2785490284</v>
          </cell>
          <cell r="H12">
            <v>0.81951136036270722</v>
          </cell>
          <cell r="I12">
            <v>1.0635083233754297</v>
          </cell>
          <cell r="J12">
            <v>322402234.21560526</v>
          </cell>
          <cell r="K12">
            <v>210408000</v>
          </cell>
          <cell r="L12">
            <v>0.65262575028959158</v>
          </cell>
        </row>
        <row r="13">
          <cell r="A13" t="str">
            <v>13522343-3LN-02 NUTRIC</v>
          </cell>
          <cell r="B13" t="str">
            <v>13522343-3</v>
          </cell>
          <cell r="C13" t="str">
            <v>RODRIGO ALEJANDRO URIBE RETAMAL</v>
          </cell>
          <cell r="D13" t="str">
            <v>LN-02 NUTRIC</v>
          </cell>
          <cell r="E13">
            <v>1494954490</v>
          </cell>
          <cell r="F13">
            <v>2125897379.8899186</v>
          </cell>
          <cell r="G13">
            <v>995488331</v>
          </cell>
          <cell r="H13">
            <v>0.46826734931652608</v>
          </cell>
          <cell r="I13">
            <v>0.66589875321221315</v>
          </cell>
          <cell r="J13">
            <v>146899269.17274696</v>
          </cell>
          <cell r="K13">
            <v>66209409</v>
          </cell>
          <cell r="L13">
            <v>0.45071299110508645</v>
          </cell>
        </row>
        <row r="14">
          <cell r="A14" t="str">
            <v>13522343-3LN-20 FERTIL</v>
          </cell>
          <cell r="B14" t="str">
            <v>13522343-3</v>
          </cell>
          <cell r="C14" t="str">
            <v>RODRIGO ALEJANDRO URIBE RETAMAL</v>
          </cell>
          <cell r="D14" t="str">
            <v>LN-20 FERTIL</v>
          </cell>
          <cell r="E14">
            <v>382454995.56</v>
          </cell>
          <cell r="F14">
            <v>334508830.74999994</v>
          </cell>
          <cell r="G14">
            <v>551530949.75999999</v>
          </cell>
          <cell r="H14">
            <v>1.6487784448721914</v>
          </cell>
          <cell r="I14">
            <v>1.4420806530515697</v>
          </cell>
          <cell r="J14">
            <v>24542282.440657005</v>
          </cell>
          <cell r="K14">
            <v>43332283.75999999</v>
          </cell>
          <cell r="L14">
            <v>1.7656175160063869</v>
          </cell>
        </row>
        <row r="15">
          <cell r="A15" t="str">
            <v>13522343-3LN-05 FARMA</v>
          </cell>
          <cell r="B15" t="str">
            <v>13522343-3</v>
          </cell>
          <cell r="C15" t="str">
            <v>RODRIGO ALEJANDRO URIBE RETAMAL</v>
          </cell>
          <cell r="D15" t="str">
            <v>LN-05 FARMA</v>
          </cell>
          <cell r="E15">
            <v>388965267.99999994</v>
          </cell>
          <cell r="F15">
            <v>411737175.01279998</v>
          </cell>
          <cell r="G15">
            <v>483269770</v>
          </cell>
          <cell r="H15">
            <v>1.1737336323468393</v>
          </cell>
          <cell r="I15">
            <v>1.2424496729101275</v>
          </cell>
          <cell r="J15">
            <v>57753261.283939444</v>
          </cell>
          <cell r="K15">
            <v>62571613</v>
          </cell>
          <cell r="L15">
            <v>1.0834299502563414</v>
          </cell>
        </row>
        <row r="16">
          <cell r="A16" t="str">
            <v>13522343-3LN-07 FERRET</v>
          </cell>
          <cell r="B16" t="str">
            <v>13522343-3</v>
          </cell>
          <cell r="C16" t="str">
            <v>RODRIGO ALEJANDRO URIBE RETAMAL</v>
          </cell>
          <cell r="D16" t="str">
            <v>LN-07 FERRET</v>
          </cell>
          <cell r="E16">
            <v>154644782</v>
          </cell>
          <cell r="F16">
            <v>175522066.00000003</v>
          </cell>
          <cell r="G16">
            <v>155026524</v>
          </cell>
          <cell r="H16">
            <v>0.88323096652702326</v>
          </cell>
          <cell r="I16">
            <v>1.0024685087661089</v>
          </cell>
          <cell r="J16">
            <v>38118868.869400002</v>
          </cell>
          <cell r="K16">
            <v>29995384</v>
          </cell>
          <cell r="L16">
            <v>0.78689071553429157</v>
          </cell>
        </row>
        <row r="17">
          <cell r="A17" t="str">
            <v>13522343-3LN-01 AGROIN</v>
          </cell>
          <cell r="B17" t="str">
            <v>13522343-3</v>
          </cell>
          <cell r="C17" t="str">
            <v>RODRIGO ALEJANDRO URIBE RETAMAL</v>
          </cell>
          <cell r="D17" t="str">
            <v>LN-01 AGROIN</v>
          </cell>
          <cell r="E17">
            <v>167433789</v>
          </cell>
          <cell r="F17">
            <v>209822500</v>
          </cell>
          <cell r="G17">
            <v>126148866</v>
          </cell>
          <cell r="H17">
            <v>0.60121705727460117</v>
          </cell>
          <cell r="I17">
            <v>0.75342537938981957</v>
          </cell>
          <cell r="J17">
            <v>25400457.541776907</v>
          </cell>
          <cell r="K17">
            <v>12688116</v>
          </cell>
          <cell r="L17">
            <v>0.49952312784647557</v>
          </cell>
        </row>
        <row r="18">
          <cell r="A18" t="str">
            <v>13522343-3LN-03 MAQUIN</v>
          </cell>
          <cell r="B18" t="str">
            <v>13522343-3</v>
          </cell>
          <cell r="C18" t="str">
            <v>RODRIGO ALEJANDRO URIBE RETAMAL</v>
          </cell>
          <cell r="D18" t="str">
            <v>LN-03 MAQUIN</v>
          </cell>
          <cell r="E18">
            <v>43426403</v>
          </cell>
          <cell r="F18">
            <v>15460858.980000002</v>
          </cell>
          <cell r="G18">
            <v>29045000</v>
          </cell>
          <cell r="H18">
            <v>1.8786148969842034</v>
          </cell>
          <cell r="I18">
            <v>0.66883273753987871</v>
          </cell>
          <cell r="J18">
            <v>3096850.9668400427</v>
          </cell>
          <cell r="K18">
            <v>5879573</v>
          </cell>
          <cell r="L18">
            <v>1.8985650465444852</v>
          </cell>
        </row>
        <row r="19">
          <cell r="A19" t="str">
            <v>13522343-3LN-09 REPUES</v>
          </cell>
          <cell r="B19" t="str">
            <v>13522343-3</v>
          </cell>
          <cell r="C19" t="str">
            <v>RODRIGO ALEJANDRO URIBE RETAMAL</v>
          </cell>
          <cell r="D19" t="str">
            <v>LN-09 REPUES</v>
          </cell>
          <cell r="E19">
            <v>8402066</v>
          </cell>
          <cell r="F19">
            <v>10534267.007999999</v>
          </cell>
          <cell r="G19">
            <v>9523745</v>
          </cell>
          <cell r="H19">
            <v>0.90407286930997832</v>
          </cell>
          <cell r="I19">
            <v>1.133500379549506</v>
          </cell>
          <cell r="J19">
            <v>3029682.234375</v>
          </cell>
          <cell r="K19">
            <v>2450488</v>
          </cell>
          <cell r="L19">
            <v>0.80882673839407349</v>
          </cell>
        </row>
        <row r="20">
          <cell r="A20" t="str">
            <v>13522343-3LN-08 NEUMA</v>
          </cell>
          <cell r="B20" t="str">
            <v>13522343-3</v>
          </cell>
          <cell r="C20" t="str">
            <v>RODRIGO ALEJANDRO URIBE RETAMAL</v>
          </cell>
          <cell r="D20" t="str">
            <v>LN-08 NEUMA</v>
          </cell>
          <cell r="E20">
            <v>10524573</v>
          </cell>
          <cell r="F20">
            <v>9088323.7260000017</v>
          </cell>
          <cell r="G20">
            <v>7310288</v>
          </cell>
          <cell r="H20">
            <v>0.8043604321759168</v>
          </cell>
          <cell r="I20">
            <v>0.69459236018411386</v>
          </cell>
          <cell r="J20">
            <v>2671663.0136662377</v>
          </cell>
          <cell r="K20">
            <v>1736756</v>
          </cell>
          <cell r="L20">
            <v>0.65006551766298748</v>
          </cell>
        </row>
        <row r="21">
          <cell r="A21" t="str">
            <v>13522343-3</v>
          </cell>
          <cell r="B21" t="str">
            <v>13522343-3</v>
          </cell>
          <cell r="C21" t="str">
            <v>RODRIGO ALEJANDRO URIBE RETAMAL</v>
          </cell>
          <cell r="G21">
            <v>145693</v>
          </cell>
          <cell r="H21">
            <v>0</v>
          </cell>
          <cell r="I21" t="str">
            <v>Infinity</v>
          </cell>
          <cell r="K21">
            <v>15938</v>
          </cell>
        </row>
        <row r="22">
          <cell r="A22" t="str">
            <v>13522343-3LN-06 COMBU</v>
          </cell>
          <cell r="B22" t="str">
            <v>13522343-3</v>
          </cell>
          <cell r="C22" t="str">
            <v>RODRIGO ALEJANDRO URIBE RETAMAL</v>
          </cell>
          <cell r="D22" t="str">
            <v>LN-06 COMBU</v>
          </cell>
          <cell r="G22">
            <v>43354</v>
          </cell>
          <cell r="H22">
            <v>0</v>
          </cell>
          <cell r="I22" t="str">
            <v>Infinity</v>
          </cell>
          <cell r="K22">
            <v>8359</v>
          </cell>
        </row>
        <row r="23">
          <cell r="A23" t="str">
            <v>13522343-3LN-11 FINANC</v>
          </cell>
          <cell r="B23" t="str">
            <v>13522343-3</v>
          </cell>
          <cell r="C23" t="str">
            <v>RODRIGO ALEJANDRO URIBE RETAMAL</v>
          </cell>
          <cell r="D23" t="str">
            <v>LN-11 FINANC</v>
          </cell>
          <cell r="E23">
            <v>16810</v>
          </cell>
        </row>
        <row r="24">
          <cell r="A24" t="str">
            <v>13522343-3Total</v>
          </cell>
          <cell r="B24" t="str">
            <v>13522343-3</v>
          </cell>
          <cell r="C24" t="str">
            <v>RODRIGO ALEJANDRO URIBE RETAMAL</v>
          </cell>
          <cell r="D24" t="str">
            <v>Total</v>
          </cell>
          <cell r="E24">
            <v>2650823176.5599999</v>
          </cell>
          <cell r="F24">
            <v>3292571401.3667188</v>
          </cell>
          <cell r="G24">
            <v>2357532520.7600002</v>
          </cell>
          <cell r="H24">
            <v>0.71601561010382597</v>
          </cell>
          <cell r="I24">
            <v>0.88935864964761402</v>
          </cell>
          <cell r="J24">
            <v>301512335.52340162</v>
          </cell>
          <cell r="K24">
            <v>224887919.76000023</v>
          </cell>
          <cell r="L24">
            <v>0.74586639836679502</v>
          </cell>
        </row>
        <row r="25">
          <cell r="A25" t="str">
            <v>16564321-6LN-02 NUTRIC</v>
          </cell>
          <cell r="B25" t="str">
            <v>16564321-6</v>
          </cell>
          <cell r="C25" t="str">
            <v>JORGE ANDRES SERVOIN ROSALES</v>
          </cell>
          <cell r="D25" t="str">
            <v>LN-02 NUTRIC</v>
          </cell>
          <cell r="E25">
            <v>735682690</v>
          </cell>
          <cell r="F25">
            <v>1181054099.9388437</v>
          </cell>
          <cell r="G25">
            <v>724661503</v>
          </cell>
          <cell r="H25">
            <v>0.61357181100977831</v>
          </cell>
          <cell r="I25">
            <v>0.98501910246114399</v>
          </cell>
          <cell r="J25">
            <v>81610705.095970526</v>
          </cell>
          <cell r="K25">
            <v>60005797</v>
          </cell>
          <cell r="L25">
            <v>0.73526869948539075</v>
          </cell>
        </row>
        <row r="26">
          <cell r="A26" t="str">
            <v>16564321-6LN-20 FERTIL</v>
          </cell>
          <cell r="B26" t="str">
            <v>16564321-6</v>
          </cell>
          <cell r="C26" t="str">
            <v>JORGE ANDRES SERVOIN ROSALES</v>
          </cell>
          <cell r="D26" t="str">
            <v>LN-20 FERTIL</v>
          </cell>
          <cell r="E26">
            <v>507402808.89999998</v>
          </cell>
          <cell r="F26">
            <v>735919427.64999986</v>
          </cell>
          <cell r="G26">
            <v>657114633</v>
          </cell>
          <cell r="H26">
            <v>0.89291654535925757</v>
          </cell>
          <cell r="I26">
            <v>1.2950551740629122</v>
          </cell>
          <cell r="J26">
            <v>53993021.369445413</v>
          </cell>
          <cell r="K26">
            <v>42201783</v>
          </cell>
          <cell r="L26">
            <v>0.78161551122015815</v>
          </cell>
        </row>
        <row r="27">
          <cell r="A27" t="str">
            <v>16564321-6LN-03 MAQUIN</v>
          </cell>
          <cell r="B27" t="str">
            <v>16564321-6</v>
          </cell>
          <cell r="C27" t="str">
            <v>JORGE ANDRES SERVOIN ROSALES</v>
          </cell>
          <cell r="D27" t="str">
            <v>LN-03 MAQUIN</v>
          </cell>
          <cell r="E27">
            <v>213508866</v>
          </cell>
          <cell r="F27">
            <v>386521474.5</v>
          </cell>
          <cell r="G27">
            <v>514269690</v>
          </cell>
          <cell r="H27">
            <v>1.3305074204874483</v>
          </cell>
          <cell r="I27">
            <v>2.4086573060624095</v>
          </cell>
          <cell r="J27">
            <v>77421274.171001092</v>
          </cell>
          <cell r="K27">
            <v>81455988</v>
          </cell>
          <cell r="L27">
            <v>1.052113761652739</v>
          </cell>
        </row>
        <row r="28">
          <cell r="A28" t="str">
            <v>16564321-6LN-01 AGROIN</v>
          </cell>
          <cell r="B28" t="str">
            <v>16564321-6</v>
          </cell>
          <cell r="C28" t="str">
            <v>JORGE ANDRES SERVOIN ROSALES</v>
          </cell>
          <cell r="D28" t="str">
            <v>LN-01 AGROIN</v>
          </cell>
          <cell r="E28">
            <v>283363637</v>
          </cell>
          <cell r="F28">
            <v>335716000</v>
          </cell>
          <cell r="G28">
            <v>337720970</v>
          </cell>
          <cell r="H28">
            <v>1.0059722205673844</v>
          </cell>
          <cell r="I28">
            <v>1.1918288936981707</v>
          </cell>
          <cell r="J28">
            <v>40640732.066843055</v>
          </cell>
          <cell r="K28">
            <v>34745215</v>
          </cell>
          <cell r="L28">
            <v>0.85493575614862161</v>
          </cell>
        </row>
        <row r="29">
          <cell r="A29" t="str">
            <v>16564321-6LN-07 FERRET</v>
          </cell>
          <cell r="B29" t="str">
            <v>16564321-6</v>
          </cell>
          <cell r="C29" t="str">
            <v>JORGE ANDRES SERVOIN ROSALES</v>
          </cell>
          <cell r="D29" t="str">
            <v>LN-07 FERRET</v>
          </cell>
          <cell r="E29">
            <v>52937404</v>
          </cell>
          <cell r="F29">
            <v>56167061.120000005</v>
          </cell>
          <cell r="G29">
            <v>50294359</v>
          </cell>
          <cell r="H29">
            <v>0.89544223958143243</v>
          </cell>
          <cell r="I29">
            <v>0.95007225892678837</v>
          </cell>
          <cell r="J29">
            <v>12198038.038208004</v>
          </cell>
          <cell r="K29">
            <v>11320689</v>
          </cell>
          <cell r="L29">
            <v>0.92807457761158985</v>
          </cell>
        </row>
        <row r="30">
          <cell r="A30" t="str">
            <v>16564321-6LN-08 NEUMA</v>
          </cell>
          <cell r="B30" t="str">
            <v>16564321-6</v>
          </cell>
          <cell r="C30" t="str">
            <v>JORGE ANDRES SERVOIN ROSALES</v>
          </cell>
          <cell r="D30" t="str">
            <v>LN-08 NEUMA</v>
          </cell>
          <cell r="E30">
            <v>41772461</v>
          </cell>
          <cell r="F30">
            <v>40897456.767000012</v>
          </cell>
          <cell r="G30">
            <v>33984913</v>
          </cell>
          <cell r="H30">
            <v>0.83097863990951837</v>
          </cell>
          <cell r="I30">
            <v>0.81357220011528653</v>
          </cell>
          <cell r="J30">
            <v>12022483.561498072</v>
          </cell>
          <cell r="K30">
            <v>8205479</v>
          </cell>
          <cell r="L30">
            <v>0.68251114322817585</v>
          </cell>
        </row>
        <row r="31">
          <cell r="A31" t="str">
            <v>16564321-6LN-05 FARMA</v>
          </cell>
          <cell r="B31" t="str">
            <v>16564321-6</v>
          </cell>
          <cell r="C31" t="str">
            <v>JORGE ANDRES SERVOIN ROSALES</v>
          </cell>
          <cell r="D31" t="str">
            <v>LN-05 FARMA</v>
          </cell>
          <cell r="E31">
            <v>30830652</v>
          </cell>
          <cell r="F31">
            <v>29409798.2152</v>
          </cell>
          <cell r="G31">
            <v>27244391</v>
          </cell>
          <cell r="H31">
            <v>0.92637123181345593</v>
          </cell>
          <cell r="I31">
            <v>0.88367871688214705</v>
          </cell>
          <cell r="J31">
            <v>4125232.9488528175</v>
          </cell>
          <cell r="K31">
            <v>4472496</v>
          </cell>
          <cell r="L31">
            <v>1.0841802282326269</v>
          </cell>
        </row>
        <row r="32">
          <cell r="A32" t="str">
            <v>16564321-6LN-09 REPUES</v>
          </cell>
          <cell r="B32" t="str">
            <v>16564321-6</v>
          </cell>
          <cell r="C32" t="str">
            <v>JORGE ANDRES SERVOIN ROSALES</v>
          </cell>
          <cell r="D32" t="str">
            <v>LN-09 REPUES</v>
          </cell>
          <cell r="E32">
            <v>10768210</v>
          </cell>
          <cell r="F32">
            <v>12289978.175999999</v>
          </cell>
          <cell r="G32">
            <v>12100853</v>
          </cell>
          <cell r="H32">
            <v>0.984611431095189</v>
          </cell>
          <cell r="I32">
            <v>1.1237571518386065</v>
          </cell>
          <cell r="J32">
            <v>3534629.2734374995</v>
          </cell>
          <cell r="K32">
            <v>3594170</v>
          </cell>
          <cell r="L32">
            <v>1.0168449707045502</v>
          </cell>
        </row>
        <row r="33">
          <cell r="A33" t="str">
            <v>16564321-6LN-06 COMBU</v>
          </cell>
          <cell r="B33" t="str">
            <v>16564321-6</v>
          </cell>
          <cell r="C33" t="str">
            <v>JORGE ANDRES SERVOIN ROSALES</v>
          </cell>
          <cell r="D33" t="str">
            <v>LN-06 COMBU</v>
          </cell>
          <cell r="E33">
            <v>7357896</v>
          </cell>
          <cell r="G33">
            <v>74107</v>
          </cell>
          <cell r="H33">
            <v>0</v>
          </cell>
          <cell r="I33">
            <v>1.0071765080669801E-2</v>
          </cell>
          <cell r="K33">
            <v>-373</v>
          </cell>
        </row>
        <row r="34">
          <cell r="A34" t="str">
            <v>16564321-6Total</v>
          </cell>
          <cell r="B34" t="str">
            <v>16564321-6</v>
          </cell>
          <cell r="C34" t="str">
            <v>JORGE ANDRES SERVOIN ROSALES</v>
          </cell>
          <cell r="D34" t="str">
            <v>Total</v>
          </cell>
          <cell r="E34">
            <v>1883624624.9000001</v>
          </cell>
          <cell r="F34">
            <v>2777975296.367044</v>
          </cell>
          <cell r="G34">
            <v>2357465419</v>
          </cell>
          <cell r="H34">
            <v>0.84862720776639922</v>
          </cell>
          <cell r="I34">
            <v>1.2515579738320504</v>
          </cell>
          <cell r="J34">
            <v>285546116.52525651</v>
          </cell>
          <cell r="K34">
            <v>246001244</v>
          </cell>
          <cell r="L34">
            <v>0.86151143287652177</v>
          </cell>
        </row>
        <row r="35">
          <cell r="A35" t="str">
            <v>9883720-5LN-20 FERTIL</v>
          </cell>
          <cell r="B35" t="str">
            <v>9883720-5</v>
          </cell>
          <cell r="C35" t="str">
            <v>SAEZ LARENA EDUARDO JAIME</v>
          </cell>
          <cell r="D35" t="str">
            <v>LN-20 FERTIL</v>
          </cell>
          <cell r="E35">
            <v>846121012</v>
          </cell>
          <cell r="F35">
            <v>1003526492.2500001</v>
          </cell>
          <cell r="G35">
            <v>723010218</v>
          </cell>
          <cell r="H35">
            <v>0.72046948793443766</v>
          </cell>
          <cell r="I35">
            <v>0.85449977928216259</v>
          </cell>
          <cell r="J35">
            <v>73626847.321970999</v>
          </cell>
          <cell r="K35">
            <v>63642144</v>
          </cell>
          <cell r="L35">
            <v>0.86438773782737455</v>
          </cell>
        </row>
        <row r="36">
          <cell r="A36" t="str">
            <v>9883720-5LN-02 NUTRIC</v>
          </cell>
          <cell r="B36" t="str">
            <v>9883720-5</v>
          </cell>
          <cell r="C36" t="str">
            <v>SAEZ LARENA EDUARDO JAIME</v>
          </cell>
          <cell r="D36" t="str">
            <v>LN-02 NUTRIC</v>
          </cell>
          <cell r="E36">
            <v>391461504.75000042</v>
          </cell>
          <cell r="F36">
            <v>708632459.96330595</v>
          </cell>
          <cell r="G36">
            <v>296488977.35000002</v>
          </cell>
          <cell r="H36">
            <v>0.41839598677903161</v>
          </cell>
          <cell r="I36">
            <v>0.75738986784753504</v>
          </cell>
          <cell r="J36">
            <v>52230851.261421137</v>
          </cell>
          <cell r="K36">
            <v>27777098.350000024</v>
          </cell>
          <cell r="L36">
            <v>0.53181400798873835</v>
          </cell>
        </row>
        <row r="37">
          <cell r="A37" t="str">
            <v>9883720-5LN-01 AGROIN</v>
          </cell>
          <cell r="B37" t="str">
            <v>9883720-5</v>
          </cell>
          <cell r="C37" t="str">
            <v>SAEZ LARENA EDUARDO JAIME</v>
          </cell>
          <cell r="D37" t="str">
            <v>LN-01 AGROIN</v>
          </cell>
          <cell r="E37">
            <v>143380807</v>
          </cell>
          <cell r="F37">
            <v>188840250</v>
          </cell>
          <cell r="G37">
            <v>115007120</v>
          </cell>
          <cell r="H37">
            <v>0.60901804567617335</v>
          </cell>
          <cell r="I37">
            <v>0.80210958779162123</v>
          </cell>
          <cell r="J37">
            <v>25400457.541776907</v>
          </cell>
          <cell r="K37">
            <v>16085248</v>
          </cell>
          <cell r="L37">
            <v>0.63326607300455517</v>
          </cell>
        </row>
        <row r="38">
          <cell r="A38" t="str">
            <v>9883720-5LN-07 FERRET</v>
          </cell>
          <cell r="B38" t="str">
            <v>9883720-5</v>
          </cell>
          <cell r="C38" t="str">
            <v>SAEZ LARENA EDUARDO JAIME</v>
          </cell>
          <cell r="D38" t="str">
            <v>LN-07 FERRET</v>
          </cell>
          <cell r="E38">
            <v>68492902</v>
          </cell>
          <cell r="F38">
            <v>73719267.719999999</v>
          </cell>
          <cell r="G38">
            <v>41038963.5</v>
          </cell>
          <cell r="H38">
            <v>0.55669250074314225</v>
          </cell>
          <cell r="I38">
            <v>0.59917104257022136</v>
          </cell>
          <cell r="J38">
            <v>16009924.925148003</v>
          </cell>
          <cell r="K38">
            <v>8932179.5</v>
          </cell>
          <cell r="L38">
            <v>0.55791513962501771</v>
          </cell>
        </row>
        <row r="39">
          <cell r="A39" t="str">
            <v>9883720-5LN-05 FARMA</v>
          </cell>
          <cell r="B39" t="str">
            <v>9883720-5</v>
          </cell>
          <cell r="C39" t="str">
            <v>SAEZ LARENA EDUARDO JAIME</v>
          </cell>
          <cell r="D39" t="str">
            <v>LN-05 FARMA</v>
          </cell>
          <cell r="E39">
            <v>47013226</v>
          </cell>
          <cell r="F39">
            <v>58819596.430399999</v>
          </cell>
          <cell r="G39">
            <v>33084141</v>
          </cell>
          <cell r="H39">
            <v>0.56246800399502528</v>
          </cell>
          <cell r="I39">
            <v>0.70371986385278051</v>
          </cell>
          <cell r="J39">
            <v>8250465.8977056351</v>
          </cell>
          <cell r="K39">
            <v>7093092</v>
          </cell>
          <cell r="L39">
            <v>0.85972017676874612</v>
          </cell>
        </row>
        <row r="40">
          <cell r="A40" t="str">
            <v>9883720-5LN-09 REPUES</v>
          </cell>
          <cell r="B40" t="str">
            <v>9883720-5</v>
          </cell>
          <cell r="C40" t="str">
            <v>SAEZ LARENA EDUARDO JAIME</v>
          </cell>
          <cell r="D40" t="str">
            <v>LN-09 REPUES</v>
          </cell>
          <cell r="E40">
            <v>4035686</v>
          </cell>
          <cell r="F40">
            <v>4213706.8032000009</v>
          </cell>
          <cell r="G40">
            <v>5117770</v>
          </cell>
          <cell r="H40">
            <v>1.214552943292929</v>
          </cell>
          <cell r="I40">
            <v>1.2681288881245965</v>
          </cell>
          <cell r="J40">
            <v>1211872.89375</v>
          </cell>
          <cell r="K40">
            <v>1364835</v>
          </cell>
          <cell r="L40">
            <v>1.1262195953378216</v>
          </cell>
        </row>
        <row r="41">
          <cell r="A41" t="str">
            <v>9883720-5LN-08 NEUMA</v>
          </cell>
          <cell r="B41" t="str">
            <v>9883720-5</v>
          </cell>
          <cell r="C41" t="str">
            <v>SAEZ LARENA EDUARDO JAIME</v>
          </cell>
          <cell r="D41" t="str">
            <v>LN-08 NEUMA</v>
          </cell>
          <cell r="E41">
            <v>6878821</v>
          </cell>
          <cell r="F41">
            <v>9088323.7260000017</v>
          </cell>
          <cell r="G41">
            <v>4635972</v>
          </cell>
          <cell r="H41">
            <v>0.51010198797577466</v>
          </cell>
          <cell r="I41">
            <v>0.67394863160416585</v>
          </cell>
          <cell r="J41">
            <v>2671663.0136662377</v>
          </cell>
          <cell r="K41">
            <v>1214442</v>
          </cell>
          <cell r="L41">
            <v>0.45456406507400798</v>
          </cell>
        </row>
        <row r="42">
          <cell r="A42" t="str">
            <v>9883720-5</v>
          </cell>
          <cell r="B42" t="str">
            <v>9883720-5</v>
          </cell>
          <cell r="C42" t="str">
            <v>SAEZ LARENA EDUARDO JAIME</v>
          </cell>
          <cell r="G42">
            <v>2809294.9999999995</v>
          </cell>
          <cell r="H42">
            <v>0</v>
          </cell>
          <cell r="I42" t="str">
            <v>Infinity</v>
          </cell>
          <cell r="K42">
            <v>328569.99999999953</v>
          </cell>
        </row>
        <row r="43">
          <cell r="A43" t="str">
            <v>9883720-5LN-06 COMBU</v>
          </cell>
          <cell r="B43" t="str">
            <v>9883720-5</v>
          </cell>
          <cell r="C43" t="str">
            <v>SAEZ LARENA EDUARDO JAIME</v>
          </cell>
          <cell r="D43" t="str">
            <v>LN-06 COMBU</v>
          </cell>
          <cell r="E43">
            <v>1632016</v>
          </cell>
          <cell r="G43">
            <v>1631510</v>
          </cell>
          <cell r="H43">
            <v>0</v>
          </cell>
          <cell r="I43">
            <v>0.99968995402005867</v>
          </cell>
          <cell r="K43">
            <v>286709</v>
          </cell>
        </row>
        <row r="44">
          <cell r="A44" t="str">
            <v>9883720-5LN-03 MAQUIN</v>
          </cell>
          <cell r="B44" t="str">
            <v>9883720-5</v>
          </cell>
          <cell r="C44" t="str">
            <v>SAEZ LARENA EDUARDO JAIME</v>
          </cell>
          <cell r="D44" t="str">
            <v>LN-03 MAQUIN</v>
          </cell>
          <cell r="E44">
            <v>15000000</v>
          </cell>
          <cell r="F44">
            <v>15460858.980000002</v>
          </cell>
          <cell r="J44">
            <v>3096850.9668400427</v>
          </cell>
        </row>
        <row r="45">
          <cell r="A45" t="str">
            <v>9883720-5Total</v>
          </cell>
          <cell r="B45" t="str">
            <v>9883720-5</v>
          </cell>
          <cell r="C45" t="str">
            <v>SAEZ LARENA EDUARDO JAIME</v>
          </cell>
          <cell r="D45" t="str">
            <v>Total</v>
          </cell>
          <cell r="E45">
            <v>1524015974.7500005</v>
          </cell>
          <cell r="F45">
            <v>2062300955.872906</v>
          </cell>
          <cell r="G45">
            <v>1222823966.8499999</v>
          </cell>
          <cell r="H45">
            <v>0.59294157012714843</v>
          </cell>
          <cell r="I45">
            <v>0.80236952047080212</v>
          </cell>
          <cell r="J45">
            <v>182498933.82227898</v>
          </cell>
          <cell r="K45">
            <v>126724317.8499999</v>
          </cell>
          <cell r="L45">
            <v>0.69438388047464716</v>
          </cell>
        </row>
        <row r="46">
          <cell r="A46" t="str">
            <v>16831737-9LN-02 NUTRIC</v>
          </cell>
          <cell r="B46" t="str">
            <v>16831737-9</v>
          </cell>
          <cell r="C46" t="str">
            <v>TOMAS APPARCEL CORREA</v>
          </cell>
          <cell r="D46" t="str">
            <v>LN-02 NUTRIC</v>
          </cell>
          <cell r="E46">
            <v>121695600</v>
          </cell>
          <cell r="G46">
            <v>341454379</v>
          </cell>
          <cell r="H46">
            <v>0</v>
          </cell>
          <cell r="I46">
            <v>2.8058071039544568</v>
          </cell>
          <cell r="K46">
            <v>19030621</v>
          </cell>
        </row>
        <row r="47">
          <cell r="A47" t="str">
            <v>16831737-9LN-20 FERTIL</v>
          </cell>
          <cell r="B47" t="str">
            <v>16831737-9</v>
          </cell>
          <cell r="C47" t="str">
            <v>TOMAS APPARCEL CORREA</v>
          </cell>
          <cell r="D47" t="str">
            <v>LN-20 FERTIL</v>
          </cell>
          <cell r="E47">
            <v>452797428</v>
          </cell>
          <cell r="G47">
            <v>230004970</v>
          </cell>
          <cell r="H47">
            <v>0</v>
          </cell>
          <cell r="I47">
            <v>0.50796439152918504</v>
          </cell>
          <cell r="K47">
            <v>8538675</v>
          </cell>
        </row>
        <row r="48">
          <cell r="A48" t="str">
            <v>16831737-9LN-01 AGROIN</v>
          </cell>
          <cell r="B48" t="str">
            <v>16831737-9</v>
          </cell>
          <cell r="C48" t="str">
            <v>TOMAS APPARCEL CORREA</v>
          </cell>
          <cell r="D48" t="str">
            <v>LN-01 AGROIN</v>
          </cell>
          <cell r="E48">
            <v>115923775</v>
          </cell>
          <cell r="G48">
            <v>27053046</v>
          </cell>
          <cell r="H48">
            <v>0</v>
          </cell>
          <cell r="I48">
            <v>0.23336926355270954</v>
          </cell>
          <cell r="K48">
            <v>2149671</v>
          </cell>
        </row>
        <row r="49">
          <cell r="A49" t="str">
            <v>16831737-9LN-03 MAQUIN</v>
          </cell>
          <cell r="B49" t="str">
            <v>16831737-9</v>
          </cell>
          <cell r="C49" t="str">
            <v>TOMAS APPARCEL CORREA</v>
          </cell>
          <cell r="D49" t="str">
            <v>LN-03 MAQUIN</v>
          </cell>
          <cell r="G49">
            <v>7000000</v>
          </cell>
          <cell r="H49">
            <v>0</v>
          </cell>
          <cell r="I49" t="str">
            <v>Infinity</v>
          </cell>
          <cell r="K49">
            <v>2029618</v>
          </cell>
        </row>
        <row r="50">
          <cell r="A50" t="str">
            <v>16831737-9LN-05 FARMA</v>
          </cell>
          <cell r="B50" t="str">
            <v>16831737-9</v>
          </cell>
          <cell r="C50" t="str">
            <v>TOMAS APPARCEL CORREA</v>
          </cell>
          <cell r="D50" t="str">
            <v>LN-05 FARMA</v>
          </cell>
          <cell r="E50">
            <v>21472</v>
          </cell>
          <cell r="G50">
            <v>235870</v>
          </cell>
          <cell r="H50">
            <v>0</v>
          </cell>
          <cell r="I50">
            <v>10.985003725782414</v>
          </cell>
          <cell r="K50">
            <v>23503</v>
          </cell>
        </row>
        <row r="51">
          <cell r="A51" t="str">
            <v>16831737-9LN-07 FERRET</v>
          </cell>
          <cell r="B51" t="str">
            <v>16831737-9</v>
          </cell>
          <cell r="C51" t="str">
            <v>TOMAS APPARCEL CORREA</v>
          </cell>
          <cell r="D51" t="str">
            <v>LN-07 FERRET</v>
          </cell>
          <cell r="E51">
            <v>1756345</v>
          </cell>
        </row>
        <row r="52">
          <cell r="A52" t="str">
            <v>16831737-9Total</v>
          </cell>
          <cell r="B52" t="str">
            <v>16831737-9</v>
          </cell>
          <cell r="C52" t="str">
            <v>TOMAS APPARCEL CORREA</v>
          </cell>
          <cell r="D52" t="str">
            <v>Total</v>
          </cell>
          <cell r="E52">
            <v>692194620</v>
          </cell>
          <cell r="G52">
            <v>605748265</v>
          </cell>
          <cell r="H52">
            <v>0</v>
          </cell>
          <cell r="I52">
            <v>0.87511264534243272</v>
          </cell>
          <cell r="K52">
            <v>31772088</v>
          </cell>
        </row>
        <row r="53">
          <cell r="A53" t="str">
            <v>17366510-5LN-02 NUTRIC</v>
          </cell>
          <cell r="B53" t="str">
            <v>17366510-5</v>
          </cell>
          <cell r="C53" t="str">
            <v>ANDRES ARIAS IRIBARRA</v>
          </cell>
          <cell r="D53" t="str">
            <v>LN-02 NUTRIC</v>
          </cell>
          <cell r="G53">
            <v>425993863</v>
          </cell>
          <cell r="H53">
            <v>0</v>
          </cell>
          <cell r="I53" t="str">
            <v>Infinity</v>
          </cell>
          <cell r="K53">
            <v>25104135</v>
          </cell>
        </row>
        <row r="54">
          <cell r="A54" t="str">
            <v>17366510-5Total</v>
          </cell>
          <cell r="B54" t="str">
            <v>17366510-5</v>
          </cell>
          <cell r="C54" t="str">
            <v>ANDRES ARIAS IRIBARRA</v>
          </cell>
          <cell r="D54" t="str">
            <v>Total</v>
          </cell>
          <cell r="G54">
            <v>425993863</v>
          </cell>
          <cell r="H54">
            <v>0</v>
          </cell>
          <cell r="I54" t="str">
            <v>Infinity</v>
          </cell>
          <cell r="K54">
            <v>25104135</v>
          </cell>
        </row>
        <row r="55">
          <cell r="A55" t="str">
            <v>17532673-1LN-05 FARMA</v>
          </cell>
          <cell r="B55" t="str">
            <v>17532673-1</v>
          </cell>
          <cell r="C55" t="str">
            <v>ZAPATA MUÑOZ LORETO</v>
          </cell>
          <cell r="D55" t="str">
            <v>LN-05 FARMA</v>
          </cell>
          <cell r="E55">
            <v>119521043</v>
          </cell>
          <cell r="F55">
            <v>147048991.07600001</v>
          </cell>
          <cell r="G55">
            <v>121782361</v>
          </cell>
          <cell r="H55">
            <v>0.82817542717487036</v>
          </cell>
          <cell r="I55">
            <v>1.0189198315479895</v>
          </cell>
          <cell r="J55">
            <v>20626164.744264089</v>
          </cell>
          <cell r="K55">
            <v>17508023</v>
          </cell>
          <cell r="L55">
            <v>0.84882590714634865</v>
          </cell>
        </row>
        <row r="56">
          <cell r="A56" t="str">
            <v>17532673-1LN-02 NUTRIC</v>
          </cell>
          <cell r="B56" t="str">
            <v>17532673-1</v>
          </cell>
          <cell r="C56" t="str">
            <v>ZAPATA MUÑOZ LORETO</v>
          </cell>
          <cell r="D56" t="str">
            <v>LN-02 NUTRIC</v>
          </cell>
          <cell r="E56">
            <v>43240277</v>
          </cell>
          <cell r="F56">
            <v>0</v>
          </cell>
          <cell r="G56">
            <v>40853260</v>
          </cell>
          <cell r="H56">
            <v>0</v>
          </cell>
          <cell r="I56">
            <v>0.94479644522166217</v>
          </cell>
          <cell r="J56">
            <v>0</v>
          </cell>
          <cell r="K56">
            <v>3765570</v>
          </cell>
        </row>
        <row r="57">
          <cell r="A57" t="str">
            <v>17532673-1LN-07 FERRET</v>
          </cell>
          <cell r="B57" t="str">
            <v>17532673-1</v>
          </cell>
          <cell r="C57" t="str">
            <v>ZAPATA MUÑOZ LORETO</v>
          </cell>
          <cell r="D57" t="str">
            <v>LN-07 FERRET</v>
          </cell>
          <cell r="E57">
            <v>29119254.999999996</v>
          </cell>
          <cell r="F57">
            <v>35104413.200000003</v>
          </cell>
          <cell r="G57">
            <v>32862296</v>
          </cell>
          <cell r="H57">
            <v>0.93613004760324547</v>
          </cell>
          <cell r="I57">
            <v>1.1285417844652963</v>
          </cell>
          <cell r="J57">
            <v>7623773.7738800012</v>
          </cell>
          <cell r="K57">
            <v>6187587</v>
          </cell>
          <cell r="L57">
            <v>0.81161734116500728</v>
          </cell>
        </row>
        <row r="58">
          <cell r="A58" t="str">
            <v>17532673-1LN-01 AGROIN</v>
          </cell>
          <cell r="B58" t="str">
            <v>17532673-1</v>
          </cell>
          <cell r="C58" t="str">
            <v>ZAPATA MUÑOZ LORETO</v>
          </cell>
          <cell r="D58" t="str">
            <v>LN-01 AGROIN</v>
          </cell>
          <cell r="E58">
            <v>20869980</v>
          </cell>
          <cell r="F58">
            <v>41964500</v>
          </cell>
          <cell r="G58">
            <v>29782091</v>
          </cell>
          <cell r="H58">
            <v>0.70969726792884458</v>
          </cell>
          <cell r="I58">
            <v>1.4270301648588068</v>
          </cell>
          <cell r="J58">
            <v>5080091.5083553819</v>
          </cell>
          <cell r="K58">
            <v>2833228</v>
          </cell>
          <cell r="L58">
            <v>0.55771200092362572</v>
          </cell>
        </row>
        <row r="59">
          <cell r="A59" t="str">
            <v>17532673-1LN-20 FERTIL</v>
          </cell>
          <cell r="B59" t="str">
            <v>17532673-1</v>
          </cell>
          <cell r="C59" t="str">
            <v>ZAPATA MUÑOZ LORETO</v>
          </cell>
          <cell r="D59" t="str">
            <v>LN-20 FERTIL</v>
          </cell>
          <cell r="E59">
            <v>14071663.68</v>
          </cell>
          <cell r="F59">
            <v>66901766.149999999</v>
          </cell>
          <cell r="G59">
            <v>19501786</v>
          </cell>
          <cell r="H59">
            <v>0.29149882166451596</v>
          </cell>
          <cell r="I59">
            <v>1.3858905701191404</v>
          </cell>
          <cell r="J59">
            <v>4908456.4881314011</v>
          </cell>
          <cell r="K59">
            <v>1395214</v>
          </cell>
          <cell r="L59">
            <v>0.28424699360656724</v>
          </cell>
        </row>
        <row r="60">
          <cell r="A60" t="str">
            <v>17532673-1</v>
          </cell>
          <cell r="B60" t="str">
            <v>17532673-1</v>
          </cell>
          <cell r="C60" t="str">
            <v>ZAPATA MUÑOZ LORETO</v>
          </cell>
          <cell r="G60">
            <v>1803305</v>
          </cell>
          <cell r="H60">
            <v>0</v>
          </cell>
          <cell r="I60" t="str">
            <v>Infinity</v>
          </cell>
          <cell r="K60">
            <v>90139</v>
          </cell>
        </row>
        <row r="61">
          <cell r="A61" t="str">
            <v>17532673-1LN-09 REPUES</v>
          </cell>
          <cell r="B61" t="str">
            <v>17532673-1</v>
          </cell>
          <cell r="C61" t="str">
            <v>ZAPATA MUÑOZ LORETO</v>
          </cell>
          <cell r="D61" t="str">
            <v>LN-09 REPUES</v>
          </cell>
          <cell r="E61">
            <v>1037059</v>
          </cell>
          <cell r="F61">
            <v>1755711.1680000001</v>
          </cell>
          <cell r="G61">
            <v>1338174</v>
          </cell>
          <cell r="H61">
            <v>0.76218345271697896</v>
          </cell>
          <cell r="I61">
            <v>1.2903547435584668</v>
          </cell>
          <cell r="J61">
            <v>504947.0390625</v>
          </cell>
          <cell r="K61">
            <v>293259</v>
          </cell>
          <cell r="L61">
            <v>0.58077179845330629</v>
          </cell>
        </row>
        <row r="62">
          <cell r="A62" t="str">
            <v>17532673-1LN-08 NEUMA</v>
          </cell>
          <cell r="B62" t="str">
            <v>17532673-1</v>
          </cell>
          <cell r="C62" t="str">
            <v>ZAPATA MUÑOZ LORETO</v>
          </cell>
          <cell r="D62" t="str">
            <v>LN-08 NEUMA</v>
          </cell>
          <cell r="E62">
            <v>209316</v>
          </cell>
          <cell r="F62">
            <v>0</v>
          </cell>
          <cell r="G62">
            <v>17406</v>
          </cell>
          <cell r="H62">
            <v>0</v>
          </cell>
          <cell r="I62">
            <v>8.3156567104282514E-2</v>
          </cell>
          <cell r="J62">
            <v>0</v>
          </cell>
          <cell r="K62">
            <v>6001</v>
          </cell>
        </row>
        <row r="63">
          <cell r="A63" t="str">
            <v>17532673-1LN-03 MAQUIN</v>
          </cell>
          <cell r="B63" t="str">
            <v>17532673-1</v>
          </cell>
          <cell r="C63" t="str">
            <v>ZAPATA MUÑOZ LORETO</v>
          </cell>
          <cell r="D63" t="str">
            <v>LN-03 MAQUIN</v>
          </cell>
          <cell r="F63">
            <v>0</v>
          </cell>
          <cell r="J63">
            <v>0</v>
          </cell>
        </row>
        <row r="64">
          <cell r="A64" t="str">
            <v>17532673-1Total</v>
          </cell>
          <cell r="B64" t="str">
            <v>17532673-1</v>
          </cell>
          <cell r="C64" t="str">
            <v>ZAPATA MUÑOZ LORETO</v>
          </cell>
          <cell r="D64" t="str">
            <v>Total</v>
          </cell>
          <cell r="E64">
            <v>228068593.68000001</v>
          </cell>
          <cell r="F64">
            <v>292775381.59399998</v>
          </cell>
          <cell r="G64">
            <v>247940679</v>
          </cell>
          <cell r="H64">
            <v>0.84686314009770958</v>
          </cell>
          <cell r="I64">
            <v>1.0871320553143859</v>
          </cell>
          <cell r="J64">
            <v>38743433.553693369</v>
          </cell>
          <cell r="K64">
            <v>32079021</v>
          </cell>
          <cell r="L64">
            <v>0.82798601098538782</v>
          </cell>
        </row>
        <row r="65">
          <cell r="A65" t="str">
            <v>16951439-9LN-20 FERTIL</v>
          </cell>
          <cell r="B65" t="str">
            <v>16951439-9</v>
          </cell>
          <cell r="C65" t="str">
            <v>NICOLAS GUERRA LARRE</v>
          </cell>
          <cell r="D65" t="str">
            <v>LN-20 FERTIL</v>
          </cell>
          <cell r="G65">
            <v>78578443</v>
          </cell>
          <cell r="H65">
            <v>0</v>
          </cell>
          <cell r="I65" t="str">
            <v>Infinity</v>
          </cell>
          <cell r="K65">
            <v>3404113</v>
          </cell>
        </row>
        <row r="66">
          <cell r="A66" t="str">
            <v>16951439-9Total</v>
          </cell>
          <cell r="B66" t="str">
            <v>16951439-9</v>
          </cell>
          <cell r="C66" t="str">
            <v>NICOLAS GUERRA LARRE</v>
          </cell>
          <cell r="D66" t="str">
            <v>Total</v>
          </cell>
          <cell r="G66">
            <v>78578443</v>
          </cell>
          <cell r="H66">
            <v>0</v>
          </cell>
          <cell r="I66" t="str">
            <v>Infinity</v>
          </cell>
          <cell r="K66">
            <v>3404113</v>
          </cell>
        </row>
        <row r="67">
          <cell r="A67" t="str">
            <v>19269673-9LN-02 NUTRIC</v>
          </cell>
          <cell r="B67" t="str">
            <v>19269673-9</v>
          </cell>
          <cell r="C67" t="str">
            <v>NICOLAS ARRIAGADA ROMERO</v>
          </cell>
          <cell r="D67" t="str">
            <v>LN-02 NUTRIC</v>
          </cell>
          <cell r="G67">
            <v>66698424</v>
          </cell>
          <cell r="H67">
            <v>0</v>
          </cell>
          <cell r="I67" t="str">
            <v>Infinity</v>
          </cell>
          <cell r="K67">
            <v>4558577</v>
          </cell>
        </row>
        <row r="68">
          <cell r="A68" t="str">
            <v>19269673-9LN-20 FERTIL</v>
          </cell>
          <cell r="B68" t="str">
            <v>19269673-9</v>
          </cell>
          <cell r="C68" t="str">
            <v>NICOLAS ARRIAGADA ROMERO</v>
          </cell>
          <cell r="D68" t="str">
            <v>LN-20 FERTIL</v>
          </cell>
          <cell r="G68">
            <v>7427700</v>
          </cell>
          <cell r="H68">
            <v>0</v>
          </cell>
          <cell r="I68" t="str">
            <v>Infinity</v>
          </cell>
          <cell r="K68">
            <v>619732</v>
          </cell>
        </row>
        <row r="69">
          <cell r="A69" t="str">
            <v>19269673-9Total</v>
          </cell>
          <cell r="B69" t="str">
            <v>19269673-9</v>
          </cell>
          <cell r="C69" t="str">
            <v>NICOLAS ARRIAGADA ROMERO</v>
          </cell>
          <cell r="D69" t="str">
            <v>Total</v>
          </cell>
          <cell r="G69">
            <v>74126124</v>
          </cell>
          <cell r="H69">
            <v>0</v>
          </cell>
          <cell r="I69" t="str">
            <v>Infinity</v>
          </cell>
          <cell r="K69">
            <v>5178309</v>
          </cell>
        </row>
        <row r="70">
          <cell r="A70" t="str">
            <v>16676237-5LN-20 FERTIL</v>
          </cell>
          <cell r="B70" t="str">
            <v>16676237-5</v>
          </cell>
          <cell r="C70" t="str">
            <v>HUGO PULGAR CASTELLON</v>
          </cell>
          <cell r="D70" t="str">
            <v>LN-20 FERTIL</v>
          </cell>
          <cell r="G70">
            <v>29051999.999999996</v>
          </cell>
          <cell r="H70">
            <v>0</v>
          </cell>
          <cell r="I70" t="str">
            <v>Infinity</v>
          </cell>
          <cell r="K70">
            <v>1451999.9999999963</v>
          </cell>
        </row>
        <row r="71">
          <cell r="A71" t="str">
            <v>16676237-5LN-02 NUTRIC</v>
          </cell>
          <cell r="B71" t="str">
            <v>16676237-5</v>
          </cell>
          <cell r="C71" t="str">
            <v>HUGO PULGAR CASTELLON</v>
          </cell>
          <cell r="D71" t="str">
            <v>LN-02 NUTRIC</v>
          </cell>
          <cell r="E71">
            <v>61049553</v>
          </cell>
          <cell r="G71">
            <v>17325300</v>
          </cell>
          <cell r="H71">
            <v>0</v>
          </cell>
          <cell r="I71">
            <v>0.28379077566710437</v>
          </cell>
          <cell r="K71">
            <v>529856</v>
          </cell>
        </row>
        <row r="72">
          <cell r="A72" t="str">
            <v>16676237-5LN-01 AGROIN</v>
          </cell>
          <cell r="B72" t="str">
            <v>16676237-5</v>
          </cell>
          <cell r="C72" t="str">
            <v>HUGO PULGAR CASTELLON</v>
          </cell>
          <cell r="D72" t="str">
            <v>LN-01 AGROIN</v>
          </cell>
          <cell r="E72">
            <v>10493514</v>
          </cell>
        </row>
        <row r="73">
          <cell r="A73" t="str">
            <v>16676237-5Total</v>
          </cell>
          <cell r="B73" t="str">
            <v>16676237-5</v>
          </cell>
          <cell r="C73" t="str">
            <v>HUGO PULGAR CASTELLON</v>
          </cell>
          <cell r="D73" t="str">
            <v>Total</v>
          </cell>
          <cell r="E73">
            <v>71543067</v>
          </cell>
          <cell r="G73">
            <v>46377300</v>
          </cell>
          <cell r="H73">
            <v>0</v>
          </cell>
          <cell r="I73">
            <v>0.64824310649136696</v>
          </cell>
          <cell r="K73">
            <v>1981856</v>
          </cell>
        </row>
        <row r="74">
          <cell r="A74" t="str">
            <v>12433139-0LN-03 MAQUIN</v>
          </cell>
          <cell r="B74" t="str">
            <v>12433139-0</v>
          </cell>
          <cell r="C74" t="str">
            <v>BARRIGA BOBADILLA PABLO ANTONIO</v>
          </cell>
          <cell r="D74" t="str">
            <v>LN-03 MAQUIN</v>
          </cell>
          <cell r="E74">
            <v>49603500</v>
          </cell>
          <cell r="G74">
            <v>42725500</v>
          </cell>
          <cell r="H74">
            <v>0</v>
          </cell>
          <cell r="I74">
            <v>0.86134042960678181</v>
          </cell>
          <cell r="K74">
            <v>10220045</v>
          </cell>
        </row>
        <row r="75">
          <cell r="A75" t="str">
            <v>12433139-0LN-07 FERRET</v>
          </cell>
          <cell r="B75" t="str">
            <v>12433139-0</v>
          </cell>
          <cell r="C75" t="str">
            <v>BARRIGA BOBADILLA PABLO ANTONIO</v>
          </cell>
          <cell r="D75" t="str">
            <v>LN-07 FERRET</v>
          </cell>
          <cell r="E75">
            <v>240000</v>
          </cell>
        </row>
        <row r="76">
          <cell r="A76" t="str">
            <v>12433139-0Total</v>
          </cell>
          <cell r="B76" t="str">
            <v>12433139-0</v>
          </cell>
          <cell r="C76" t="str">
            <v>BARRIGA BOBADILLA PABLO ANTONIO</v>
          </cell>
          <cell r="D76" t="str">
            <v>Total</v>
          </cell>
          <cell r="E76">
            <v>49843500</v>
          </cell>
          <cell r="G76">
            <v>42725500</v>
          </cell>
          <cell r="H76">
            <v>0</v>
          </cell>
          <cell r="I76">
            <v>0.85719301413424021</v>
          </cell>
          <cell r="K76">
            <v>10220045</v>
          </cell>
        </row>
        <row r="77">
          <cell r="A77" t="str">
            <v>14039241-3LN-20 FERTIL</v>
          </cell>
          <cell r="B77" t="str">
            <v>14039241-3</v>
          </cell>
          <cell r="C77" t="str">
            <v>ALEX  SEBASTIAN NIKLITSCHEK CORONADO</v>
          </cell>
          <cell r="D77" t="str">
            <v>LN-20 FERTIL</v>
          </cell>
          <cell r="G77">
            <v>23935000</v>
          </cell>
          <cell r="H77">
            <v>0</v>
          </cell>
          <cell r="I77" t="str">
            <v>Infinity</v>
          </cell>
          <cell r="K77">
            <v>-1880816</v>
          </cell>
        </row>
        <row r="78">
          <cell r="A78" t="str">
            <v>14039241-3LN-01 AGROIN</v>
          </cell>
          <cell r="B78" t="str">
            <v>14039241-3</v>
          </cell>
          <cell r="C78" t="str">
            <v>ALEX  SEBASTIAN NIKLITSCHEK CORONADO</v>
          </cell>
          <cell r="D78" t="str">
            <v>LN-01 AGROIN</v>
          </cell>
          <cell r="G78">
            <v>6704061</v>
          </cell>
          <cell r="H78">
            <v>0</v>
          </cell>
          <cell r="I78" t="str">
            <v>Infinity</v>
          </cell>
          <cell r="K78">
            <v>-1165987</v>
          </cell>
        </row>
        <row r="79">
          <cell r="A79" t="str">
            <v>14039241-3LN-02 NUTRIC</v>
          </cell>
          <cell r="B79" t="str">
            <v>14039241-3</v>
          </cell>
          <cell r="C79" t="str">
            <v>ALEX  SEBASTIAN NIKLITSCHEK CORONADO</v>
          </cell>
          <cell r="D79" t="str">
            <v>LN-02 NUTRIC</v>
          </cell>
          <cell r="G79">
            <v>862380</v>
          </cell>
          <cell r="H79">
            <v>0</v>
          </cell>
          <cell r="I79" t="str">
            <v>Infinity</v>
          </cell>
          <cell r="K79">
            <v>-85419</v>
          </cell>
        </row>
        <row r="80">
          <cell r="A80" t="str">
            <v>14039241-3LN-05 FARMA</v>
          </cell>
          <cell r="B80" t="str">
            <v>14039241-3</v>
          </cell>
          <cell r="C80" t="str">
            <v>ALEX  SEBASTIAN NIKLITSCHEK CORONADO</v>
          </cell>
          <cell r="D80" t="str">
            <v>LN-05 FARMA</v>
          </cell>
          <cell r="G80">
            <v>9858</v>
          </cell>
          <cell r="H80">
            <v>0</v>
          </cell>
          <cell r="I80" t="str">
            <v>Infinity</v>
          </cell>
          <cell r="K80">
            <v>3450</v>
          </cell>
        </row>
        <row r="81">
          <cell r="A81" t="str">
            <v>14039241-3LN-08 NEUMA</v>
          </cell>
          <cell r="B81" t="str">
            <v>14039241-3</v>
          </cell>
          <cell r="C81" t="str">
            <v>ALEX  SEBASTIAN NIKLITSCHEK CORONADO</v>
          </cell>
          <cell r="D81" t="str">
            <v>LN-08 NEUMA</v>
          </cell>
          <cell r="G81">
            <v>100</v>
          </cell>
          <cell r="H81">
            <v>0</v>
          </cell>
          <cell r="I81" t="str">
            <v>Infinity</v>
          </cell>
          <cell r="K81">
            <v>-70376</v>
          </cell>
        </row>
        <row r="82">
          <cell r="A82" t="str">
            <v>14039241-3Total</v>
          </cell>
          <cell r="B82" t="str">
            <v>14039241-3</v>
          </cell>
          <cell r="C82" t="str">
            <v>ALEX  SEBASTIAN NIKLITSCHEK CORONADO</v>
          </cell>
          <cell r="D82" t="str">
            <v>Total</v>
          </cell>
          <cell r="G82">
            <v>31511399</v>
          </cell>
          <cell r="H82">
            <v>0</v>
          </cell>
          <cell r="I82" t="str">
            <v>Infinity</v>
          </cell>
          <cell r="K82">
            <v>-3199148</v>
          </cell>
        </row>
        <row r="83">
          <cell r="A83" t="str">
            <v>16584365-7LN-01 AGROIN</v>
          </cell>
          <cell r="B83" t="str">
            <v>16584365-7</v>
          </cell>
          <cell r="C83" t="str">
            <v>DELGADO MARTINEZ ESTEBAN</v>
          </cell>
          <cell r="D83" t="str">
            <v>LN-01 AGROIN</v>
          </cell>
          <cell r="E83">
            <v>9439176</v>
          </cell>
          <cell r="G83">
            <v>24380700</v>
          </cell>
          <cell r="H83">
            <v>0</v>
          </cell>
          <cell r="I83">
            <v>2.58292673004508</v>
          </cell>
          <cell r="K83">
            <v>1538091</v>
          </cell>
        </row>
        <row r="84">
          <cell r="A84" t="str">
            <v>16584365-7LN-20 FERTIL</v>
          </cell>
          <cell r="B84" t="str">
            <v>16584365-7</v>
          </cell>
          <cell r="C84" t="str">
            <v>DELGADO MARTINEZ ESTEBAN</v>
          </cell>
          <cell r="D84" t="str">
            <v>LN-20 FERTIL</v>
          </cell>
          <cell r="G84">
            <v>6525000</v>
          </cell>
          <cell r="H84">
            <v>0</v>
          </cell>
          <cell r="I84" t="str">
            <v>Infinity</v>
          </cell>
          <cell r="K84">
            <v>620603</v>
          </cell>
        </row>
        <row r="85">
          <cell r="A85" t="str">
            <v>16584365-7LN-05 FARMA</v>
          </cell>
          <cell r="B85" t="str">
            <v>16584365-7</v>
          </cell>
          <cell r="C85" t="str">
            <v>DELGADO MARTINEZ ESTEBAN</v>
          </cell>
          <cell r="D85" t="str">
            <v>LN-05 FARMA</v>
          </cell>
          <cell r="G85">
            <v>430400</v>
          </cell>
          <cell r="H85">
            <v>0</v>
          </cell>
          <cell r="I85" t="str">
            <v>Infinity</v>
          </cell>
          <cell r="K85">
            <v>120452</v>
          </cell>
        </row>
        <row r="86">
          <cell r="A86" t="str">
            <v>16584365-7LN-07 FERRET</v>
          </cell>
          <cell r="B86" t="str">
            <v>16584365-7</v>
          </cell>
          <cell r="C86" t="str">
            <v>DELGADO MARTINEZ ESTEBAN</v>
          </cell>
          <cell r="D86" t="str">
            <v>LN-07 FERRET</v>
          </cell>
          <cell r="E86">
            <v>120000</v>
          </cell>
        </row>
        <row r="87">
          <cell r="A87" t="str">
            <v>16584365-7Total</v>
          </cell>
          <cell r="B87" t="str">
            <v>16584365-7</v>
          </cell>
          <cell r="C87" t="str">
            <v>DELGADO MARTINEZ ESTEBAN</v>
          </cell>
          <cell r="D87" t="str">
            <v>Total</v>
          </cell>
          <cell r="E87">
            <v>9559176</v>
          </cell>
          <cell r="G87">
            <v>31336100</v>
          </cell>
          <cell r="H87">
            <v>0</v>
          </cell>
          <cell r="I87">
            <v>3.2781172770540055</v>
          </cell>
          <cell r="K87">
            <v>2279146</v>
          </cell>
        </row>
        <row r="88">
          <cell r="A88" t="str">
            <v>19861426-2LN-02 NUTRIC</v>
          </cell>
          <cell r="B88" t="str">
            <v>19861426-2</v>
          </cell>
          <cell r="C88" t="str">
            <v>KARLA SOTO CASTRO</v>
          </cell>
          <cell r="D88" t="str">
            <v>LN-02 NUTRIC</v>
          </cell>
          <cell r="E88">
            <v>51992117</v>
          </cell>
          <cell r="G88">
            <v>15475120</v>
          </cell>
          <cell r="H88">
            <v>0</v>
          </cell>
          <cell r="I88">
            <v>0.29764358316088574</v>
          </cell>
          <cell r="K88">
            <v>555023</v>
          </cell>
        </row>
        <row r="89">
          <cell r="A89" t="str">
            <v>19861426-2Total</v>
          </cell>
          <cell r="B89" t="str">
            <v>19861426-2</v>
          </cell>
          <cell r="C89" t="str">
            <v>KARLA SOTO CASTRO</v>
          </cell>
          <cell r="D89" t="str">
            <v>Total</v>
          </cell>
          <cell r="E89">
            <v>51992117</v>
          </cell>
          <cell r="G89">
            <v>15475120</v>
          </cell>
          <cell r="H89">
            <v>0</v>
          </cell>
          <cell r="I89">
            <v>0.29764358316088574</v>
          </cell>
          <cell r="K89">
            <v>555023</v>
          </cell>
        </row>
        <row r="90">
          <cell r="A90" t="str">
            <v>11921900-0LN-01 AGROIN</v>
          </cell>
          <cell r="B90" t="str">
            <v>11921900-0</v>
          </cell>
          <cell r="C90" t="str">
            <v>BELLO RUPAYAN MELITA BEATRIZ</v>
          </cell>
          <cell r="D90" t="str">
            <v>LN-01 AGROIN</v>
          </cell>
          <cell r="G90">
            <v>13472795</v>
          </cell>
          <cell r="H90">
            <v>0</v>
          </cell>
          <cell r="I90" t="str">
            <v>Infinity</v>
          </cell>
          <cell r="K90">
            <v>821399</v>
          </cell>
        </row>
        <row r="91">
          <cell r="A91" t="str">
            <v>11921900-0LN-07 FERRET</v>
          </cell>
          <cell r="B91" t="str">
            <v>11921900-0</v>
          </cell>
          <cell r="C91" t="str">
            <v>BELLO RUPAYAN MELITA BEATRIZ</v>
          </cell>
          <cell r="D91" t="str">
            <v>LN-07 FERRET</v>
          </cell>
          <cell r="G91">
            <v>240000</v>
          </cell>
          <cell r="H91">
            <v>0</v>
          </cell>
          <cell r="I91" t="str">
            <v>Infinity</v>
          </cell>
          <cell r="K91">
            <v>64121</v>
          </cell>
        </row>
        <row r="92">
          <cell r="A92" t="str">
            <v>11921900-0Total</v>
          </cell>
          <cell r="B92" t="str">
            <v>11921900-0</v>
          </cell>
          <cell r="C92" t="str">
            <v>BELLO RUPAYAN MELITA BEATRIZ</v>
          </cell>
          <cell r="D92" t="str">
            <v>Total</v>
          </cell>
          <cell r="G92">
            <v>13712795</v>
          </cell>
          <cell r="H92">
            <v>0</v>
          </cell>
          <cell r="I92" t="str">
            <v>Infinity</v>
          </cell>
          <cell r="K92">
            <v>885520</v>
          </cell>
        </row>
        <row r="93">
          <cell r="A93" t="str">
            <v>16337655-5LN-03 MAQUIN</v>
          </cell>
          <cell r="B93" t="str">
            <v>16337655-5</v>
          </cell>
          <cell r="C93" t="str">
            <v>RUBEN  IGNACIO GUZMAN CORONADO</v>
          </cell>
          <cell r="D93" t="str">
            <v>LN-03 MAQUIN</v>
          </cell>
          <cell r="E93">
            <v>47748000</v>
          </cell>
          <cell r="G93">
            <v>13260000</v>
          </cell>
          <cell r="H93">
            <v>0</v>
          </cell>
          <cell r="I93">
            <v>0.27770796682583565</v>
          </cell>
          <cell r="K93">
            <v>3613841</v>
          </cell>
        </row>
        <row r="94">
          <cell r="A94" t="str">
            <v>16337655-5LN-01 AGROIN</v>
          </cell>
          <cell r="B94" t="str">
            <v>16337655-5</v>
          </cell>
          <cell r="C94" t="str">
            <v>RUBEN  IGNACIO GUZMAN CORONADO</v>
          </cell>
          <cell r="D94" t="str">
            <v>LN-01 AGROIN</v>
          </cell>
          <cell r="E94">
            <v>2580000</v>
          </cell>
        </row>
        <row r="95">
          <cell r="A95" t="str">
            <v>16337655-5LN-07 FERRET</v>
          </cell>
          <cell r="B95" t="str">
            <v>16337655-5</v>
          </cell>
          <cell r="C95" t="str">
            <v>RUBEN  IGNACIO GUZMAN CORONADO</v>
          </cell>
          <cell r="D95" t="str">
            <v>LN-07 FERRET</v>
          </cell>
          <cell r="E95">
            <v>1236250</v>
          </cell>
        </row>
        <row r="96">
          <cell r="A96" t="str">
            <v>16337655-5LN-20 FERTIL</v>
          </cell>
          <cell r="B96" t="str">
            <v>16337655-5</v>
          </cell>
          <cell r="C96" t="str">
            <v>RUBEN  IGNACIO GUZMAN CORONADO</v>
          </cell>
          <cell r="D96" t="str">
            <v>LN-20 FERTIL</v>
          </cell>
          <cell r="E96">
            <v>29400000</v>
          </cell>
        </row>
        <row r="97">
          <cell r="A97" t="str">
            <v>16337655-5Total</v>
          </cell>
          <cell r="B97" t="str">
            <v>16337655-5</v>
          </cell>
          <cell r="C97" t="str">
            <v>RUBEN  IGNACIO GUZMAN CORONADO</v>
          </cell>
          <cell r="D97" t="str">
            <v>Total</v>
          </cell>
          <cell r="E97">
            <v>80964250</v>
          </cell>
          <cell r="G97">
            <v>13260000</v>
          </cell>
          <cell r="H97">
            <v>0</v>
          </cell>
          <cell r="I97">
            <v>0.16377598755006068</v>
          </cell>
          <cell r="K97">
            <v>3613841</v>
          </cell>
        </row>
        <row r="98">
          <cell r="A98" t="str">
            <v>19084772-1LN-02 NUTRIC</v>
          </cell>
          <cell r="B98" t="str">
            <v>19084772-1</v>
          </cell>
          <cell r="C98" t="str">
            <v>BASTIAN BACHMANN CARDENAS</v>
          </cell>
          <cell r="D98" t="str">
            <v>LN-02 NUTRIC</v>
          </cell>
          <cell r="G98">
            <v>12011764</v>
          </cell>
          <cell r="H98">
            <v>0</v>
          </cell>
          <cell r="I98" t="str">
            <v>Infinity</v>
          </cell>
          <cell r="K98">
            <v>665132</v>
          </cell>
        </row>
        <row r="99">
          <cell r="A99" t="str">
            <v>19084772-1Total</v>
          </cell>
          <cell r="B99" t="str">
            <v>19084772-1</v>
          </cell>
          <cell r="C99" t="str">
            <v>BASTIAN BACHMANN CARDENAS</v>
          </cell>
          <cell r="D99" t="str">
            <v>Total</v>
          </cell>
          <cell r="G99">
            <v>12011764</v>
          </cell>
          <cell r="H99">
            <v>0</v>
          </cell>
          <cell r="I99" t="str">
            <v>Infinity</v>
          </cell>
          <cell r="K99">
            <v>665132</v>
          </cell>
        </row>
        <row r="100">
          <cell r="A100" t="str">
            <v>9208948-7LN-02 NUTRIC</v>
          </cell>
          <cell r="B100" t="str">
            <v>9208948-7</v>
          </cell>
          <cell r="C100" t="str">
            <v>JORGE PATRICIO REYES SOBARZO</v>
          </cell>
          <cell r="D100" t="str">
            <v>LN-02 NUTRIC</v>
          </cell>
          <cell r="G100">
            <v>3592450</v>
          </cell>
          <cell r="H100">
            <v>0</v>
          </cell>
          <cell r="I100" t="str">
            <v>Infinity</v>
          </cell>
          <cell r="K100">
            <v>249379</v>
          </cell>
        </row>
        <row r="101">
          <cell r="A101" t="str">
            <v>9208948-7LN-07 FERRET</v>
          </cell>
          <cell r="B101" t="str">
            <v>9208948-7</v>
          </cell>
          <cell r="C101" t="str">
            <v>JORGE PATRICIO REYES SOBARZO</v>
          </cell>
          <cell r="D101" t="str">
            <v>LN-07 FERRET</v>
          </cell>
          <cell r="E101">
            <v>248967</v>
          </cell>
          <cell r="G101">
            <v>1219700</v>
          </cell>
          <cell r="H101">
            <v>0</v>
          </cell>
          <cell r="I101">
            <v>4.8990428450356873</v>
          </cell>
          <cell r="K101">
            <v>218168</v>
          </cell>
        </row>
        <row r="102">
          <cell r="A102" t="str">
            <v>9208948-7LN-01 AGROIN</v>
          </cell>
          <cell r="B102" t="str">
            <v>9208948-7</v>
          </cell>
          <cell r="C102" t="str">
            <v>JORGE PATRICIO REYES SOBARZO</v>
          </cell>
          <cell r="D102" t="str">
            <v>LN-01 AGROIN</v>
          </cell>
          <cell r="E102">
            <v>1777887</v>
          </cell>
          <cell r="G102">
            <v>1111087</v>
          </cell>
          <cell r="H102">
            <v>0</v>
          </cell>
          <cell r="I102">
            <v>0.62494804225465395</v>
          </cell>
          <cell r="K102">
            <v>126035</v>
          </cell>
        </row>
        <row r="103">
          <cell r="A103" t="str">
            <v>9208948-7LN-05 FARMA</v>
          </cell>
          <cell r="B103" t="str">
            <v>9208948-7</v>
          </cell>
          <cell r="C103" t="str">
            <v>JORGE PATRICIO REYES SOBARZO</v>
          </cell>
          <cell r="D103" t="str">
            <v>LN-05 FARMA</v>
          </cell>
          <cell r="E103">
            <v>1229407</v>
          </cell>
          <cell r="G103">
            <v>904029</v>
          </cell>
          <cell r="H103">
            <v>0</v>
          </cell>
          <cell r="I103">
            <v>0.73533744317382288</v>
          </cell>
          <cell r="K103">
            <v>75653</v>
          </cell>
        </row>
        <row r="104">
          <cell r="A104" t="str">
            <v>9208948-7LN-20 FERTIL</v>
          </cell>
          <cell r="B104" t="str">
            <v>9208948-7</v>
          </cell>
          <cell r="C104" t="str">
            <v>JORGE PATRICIO REYES SOBARZO</v>
          </cell>
          <cell r="D104" t="str">
            <v>LN-20 FERTIL</v>
          </cell>
          <cell r="E104">
            <v>0</v>
          </cell>
        </row>
        <row r="105">
          <cell r="A105" t="str">
            <v>9208948-7Total</v>
          </cell>
          <cell r="B105" t="str">
            <v>9208948-7</v>
          </cell>
          <cell r="C105" t="str">
            <v>JORGE PATRICIO REYES SOBARZO</v>
          </cell>
          <cell r="D105" t="str">
            <v>Total</v>
          </cell>
          <cell r="E105">
            <v>3256261</v>
          </cell>
          <cell r="G105">
            <v>6827266</v>
          </cell>
          <cell r="H105">
            <v>0</v>
          </cell>
          <cell r="I105">
            <v>2.096658099581084</v>
          </cell>
          <cell r="K105">
            <v>669235</v>
          </cell>
        </row>
        <row r="106">
          <cell r="A106" t="str">
            <v>19816799-1LN-05 FARMA</v>
          </cell>
          <cell r="B106" t="str">
            <v>19816799-1</v>
          </cell>
          <cell r="C106" t="str">
            <v>MARIANE MATILDE CAMPOSANO SCHUCK</v>
          </cell>
          <cell r="D106" t="str">
            <v>LN-05 FARMA</v>
          </cell>
          <cell r="G106">
            <v>2452638</v>
          </cell>
          <cell r="H106">
            <v>0</v>
          </cell>
          <cell r="I106" t="str">
            <v>Infinity</v>
          </cell>
          <cell r="K106">
            <v>642483</v>
          </cell>
        </row>
        <row r="107">
          <cell r="A107" t="str">
            <v>19816799-1LN-02 NUTRIC</v>
          </cell>
          <cell r="B107" t="str">
            <v>19816799-1</v>
          </cell>
          <cell r="C107" t="str">
            <v>MARIANE MATILDE CAMPOSANO SCHUCK</v>
          </cell>
          <cell r="D107" t="str">
            <v>LN-02 NUTRIC</v>
          </cell>
          <cell r="G107">
            <v>1599048</v>
          </cell>
          <cell r="H107">
            <v>0</v>
          </cell>
          <cell r="I107" t="str">
            <v>Infinity</v>
          </cell>
          <cell r="K107">
            <v>215880</v>
          </cell>
        </row>
        <row r="108">
          <cell r="A108" t="str">
            <v>19816799-1LN-07 FERRET</v>
          </cell>
          <cell r="B108" t="str">
            <v>19816799-1</v>
          </cell>
          <cell r="C108" t="str">
            <v>MARIANE MATILDE CAMPOSANO SCHUCK</v>
          </cell>
          <cell r="D108" t="str">
            <v>LN-07 FERRET</v>
          </cell>
          <cell r="G108">
            <v>1214782</v>
          </cell>
          <cell r="H108">
            <v>0</v>
          </cell>
          <cell r="I108" t="str">
            <v>Infinity</v>
          </cell>
          <cell r="K108">
            <v>329263</v>
          </cell>
        </row>
        <row r="109">
          <cell r="A109" t="str">
            <v>19816799-1LN-20 FERTIL</v>
          </cell>
          <cell r="B109" t="str">
            <v>19816799-1</v>
          </cell>
          <cell r="C109" t="str">
            <v>MARIANE MATILDE CAMPOSANO SCHUCK</v>
          </cell>
          <cell r="D109" t="str">
            <v>LN-20 FERTIL</v>
          </cell>
          <cell r="G109">
            <v>1194135</v>
          </cell>
          <cell r="H109">
            <v>0</v>
          </cell>
          <cell r="I109" t="str">
            <v>Infinity</v>
          </cell>
          <cell r="K109">
            <v>209316</v>
          </cell>
        </row>
        <row r="110">
          <cell r="A110" t="str">
            <v>19816799-1LN-01 AGROIN</v>
          </cell>
          <cell r="B110" t="str">
            <v>19816799-1</v>
          </cell>
          <cell r="C110" t="str">
            <v>MARIANE MATILDE CAMPOSANO SCHUCK</v>
          </cell>
          <cell r="D110" t="str">
            <v>LN-01 AGROIN</v>
          </cell>
          <cell r="G110">
            <v>37887</v>
          </cell>
          <cell r="H110">
            <v>0</v>
          </cell>
          <cell r="I110" t="str">
            <v>Infinity</v>
          </cell>
          <cell r="K110">
            <v>5683</v>
          </cell>
        </row>
        <row r="111">
          <cell r="A111" t="str">
            <v>19816799-1Total</v>
          </cell>
          <cell r="B111" t="str">
            <v>19816799-1</v>
          </cell>
          <cell r="C111" t="str">
            <v>MARIANE MATILDE CAMPOSANO SCHUCK</v>
          </cell>
          <cell r="D111" t="str">
            <v>Total</v>
          </cell>
          <cell r="G111">
            <v>6498490</v>
          </cell>
          <cell r="H111">
            <v>0</v>
          </cell>
          <cell r="I111" t="str">
            <v>Infinity</v>
          </cell>
          <cell r="K111">
            <v>1402625</v>
          </cell>
        </row>
        <row r="112">
          <cell r="A112" t="str">
            <v>10729065-6LN-02 NUTRIC</v>
          </cell>
          <cell r="B112" t="str">
            <v>10729065-6</v>
          </cell>
          <cell r="C112" t="str">
            <v>JAIME  MAURICIO MANCILLA NEIRA</v>
          </cell>
          <cell r="D112" t="str">
            <v>LN-02 NUTRIC</v>
          </cell>
          <cell r="G112">
            <v>3245000</v>
          </cell>
          <cell r="H112">
            <v>0</v>
          </cell>
          <cell r="I112" t="str">
            <v>Infinity</v>
          </cell>
          <cell r="K112">
            <v>342075</v>
          </cell>
        </row>
        <row r="113">
          <cell r="A113" t="str">
            <v>10729065-6LN-01 AGROIN</v>
          </cell>
          <cell r="B113" t="str">
            <v>10729065-6</v>
          </cell>
          <cell r="C113" t="str">
            <v>JAIME  MAURICIO MANCILLA NEIRA</v>
          </cell>
          <cell r="D113" t="str">
            <v>LN-01 AGROIN</v>
          </cell>
          <cell r="E113">
            <v>220950</v>
          </cell>
          <cell r="G113">
            <v>871150</v>
          </cell>
          <cell r="H113">
            <v>0</v>
          </cell>
          <cell r="I113">
            <v>3.942747227879611</v>
          </cell>
          <cell r="K113">
            <v>91697</v>
          </cell>
        </row>
        <row r="114">
          <cell r="A114" t="str">
            <v>10729065-6Total</v>
          </cell>
          <cell r="B114" t="str">
            <v>10729065-6</v>
          </cell>
          <cell r="C114" t="str">
            <v>JAIME  MAURICIO MANCILLA NEIRA</v>
          </cell>
          <cell r="D114" t="str">
            <v>Total</v>
          </cell>
          <cell r="E114">
            <v>220950</v>
          </cell>
          <cell r="G114">
            <v>4116150</v>
          </cell>
          <cell r="H114">
            <v>0</v>
          </cell>
          <cell r="I114">
            <v>18.629327902240327</v>
          </cell>
          <cell r="K114">
            <v>433772</v>
          </cell>
        </row>
        <row r="115">
          <cell r="A115" t="str">
            <v>9573767-6LN-01 AGROIN</v>
          </cell>
          <cell r="B115" t="str">
            <v>9573767-6</v>
          </cell>
          <cell r="C115" t="str">
            <v>ARMIN MARCELO SOLDAN MUÑOZ</v>
          </cell>
          <cell r="D115" t="str">
            <v>LN-01 AGROIN</v>
          </cell>
          <cell r="E115">
            <v>382500</v>
          </cell>
          <cell r="G115">
            <v>3702500</v>
          </cell>
          <cell r="H115">
            <v>0</v>
          </cell>
          <cell r="I115">
            <v>9.6797385620915026</v>
          </cell>
          <cell r="K115">
            <v>459448</v>
          </cell>
        </row>
        <row r="116">
          <cell r="A116" t="str">
            <v>9573767-6Total</v>
          </cell>
          <cell r="B116" t="str">
            <v>9573767-6</v>
          </cell>
          <cell r="C116" t="str">
            <v>ARMIN MARCELO SOLDAN MUÑOZ</v>
          </cell>
          <cell r="D116" t="str">
            <v>Total</v>
          </cell>
          <cell r="E116">
            <v>382500</v>
          </cell>
          <cell r="G116">
            <v>3702500</v>
          </cell>
          <cell r="H116">
            <v>0</v>
          </cell>
          <cell r="I116">
            <v>9.6797385620915026</v>
          </cell>
          <cell r="K116">
            <v>459448</v>
          </cell>
        </row>
        <row r="117">
          <cell r="A117" t="str">
            <v>16583900-5LN-01 AGROIN</v>
          </cell>
          <cell r="B117" t="str">
            <v>16583900-5</v>
          </cell>
          <cell r="C117" t="str">
            <v>MARIO CALDERON COFRE</v>
          </cell>
          <cell r="D117" t="str">
            <v>LN-01 AGROIN</v>
          </cell>
          <cell r="G117">
            <v>3375000</v>
          </cell>
          <cell r="H117">
            <v>0</v>
          </cell>
          <cell r="I117" t="str">
            <v>Infinity</v>
          </cell>
          <cell r="K117">
            <v>548578</v>
          </cell>
        </row>
        <row r="118">
          <cell r="A118" t="str">
            <v>16583900-5Total</v>
          </cell>
          <cell r="B118" t="str">
            <v>16583900-5</v>
          </cell>
          <cell r="C118" t="str">
            <v>MARIO CALDERON COFRE</v>
          </cell>
          <cell r="D118" t="str">
            <v>Total</v>
          </cell>
          <cell r="G118">
            <v>3375000</v>
          </cell>
          <cell r="H118">
            <v>0</v>
          </cell>
          <cell r="I118" t="str">
            <v>Infinity</v>
          </cell>
          <cell r="K118">
            <v>548578</v>
          </cell>
        </row>
        <row r="119">
          <cell r="A119" t="str">
            <v>7528648-1LN-01 AGROIN</v>
          </cell>
          <cell r="B119" t="str">
            <v>7528648-1</v>
          </cell>
          <cell r="C119" t="str">
            <v>LUIS BERNABE HERNANDEZ VARGAS</v>
          </cell>
          <cell r="D119" t="str">
            <v>LN-01 AGROIN</v>
          </cell>
          <cell r="G119">
            <v>2181324</v>
          </cell>
          <cell r="H119">
            <v>0</v>
          </cell>
          <cell r="I119" t="str">
            <v>Infinity</v>
          </cell>
          <cell r="K119">
            <v>327280</v>
          </cell>
        </row>
        <row r="120">
          <cell r="A120" t="str">
            <v>7528648-1LN-20 FERTIL</v>
          </cell>
          <cell r="B120" t="str">
            <v>7528648-1</v>
          </cell>
          <cell r="C120" t="str">
            <v>LUIS BERNABE HERNANDEZ VARGAS</v>
          </cell>
          <cell r="D120" t="str">
            <v>LN-20 FERTIL</v>
          </cell>
          <cell r="G120">
            <v>855682</v>
          </cell>
          <cell r="H120">
            <v>0</v>
          </cell>
          <cell r="I120" t="str">
            <v>Infinity</v>
          </cell>
          <cell r="K120">
            <v>102682</v>
          </cell>
        </row>
        <row r="121">
          <cell r="A121" t="str">
            <v>7528648-1Total</v>
          </cell>
          <cell r="B121" t="str">
            <v>7528648-1</v>
          </cell>
          <cell r="C121" t="str">
            <v>LUIS BERNABE HERNANDEZ VARGAS</v>
          </cell>
          <cell r="D121" t="str">
            <v>Total</v>
          </cell>
          <cell r="G121">
            <v>3037006</v>
          </cell>
          <cell r="H121">
            <v>0</v>
          </cell>
          <cell r="I121" t="str">
            <v>Infinity</v>
          </cell>
          <cell r="K121">
            <v>429962</v>
          </cell>
        </row>
        <row r="122">
          <cell r="A122" t="str">
            <v>17531359-1LN-07 FERRET</v>
          </cell>
          <cell r="B122" t="str">
            <v>17531359-1</v>
          </cell>
          <cell r="C122" t="str">
            <v>BYRON FRANCISCO WIEDERHOLD PEREZ</v>
          </cell>
          <cell r="D122" t="str">
            <v>LN-07 FERRET</v>
          </cell>
          <cell r="G122">
            <v>550000</v>
          </cell>
          <cell r="H122">
            <v>0</v>
          </cell>
          <cell r="I122" t="str">
            <v>Infinity</v>
          </cell>
          <cell r="K122">
            <v>23329</v>
          </cell>
        </row>
        <row r="123">
          <cell r="A123" t="str">
            <v>17531359-1Total</v>
          </cell>
          <cell r="B123" t="str">
            <v>17531359-1</v>
          </cell>
          <cell r="C123" t="str">
            <v>BYRON FRANCISCO WIEDERHOLD PEREZ</v>
          </cell>
          <cell r="D123" t="str">
            <v>Total</v>
          </cell>
          <cell r="G123">
            <v>550000</v>
          </cell>
          <cell r="H123">
            <v>0</v>
          </cell>
          <cell r="I123" t="str">
            <v>Infinity</v>
          </cell>
          <cell r="K123">
            <v>23329</v>
          </cell>
        </row>
        <row r="124">
          <cell r="A124" t="str">
            <v>10363719-8LN-02 NUTRIC</v>
          </cell>
          <cell r="B124" t="str">
            <v>10363719-8</v>
          </cell>
          <cell r="C124" t="str">
            <v>GOMEZ AGUAYO ALDO</v>
          </cell>
          <cell r="D124" t="str">
            <v>LN-02 NUTRIC</v>
          </cell>
          <cell r="G124">
            <v>311000</v>
          </cell>
          <cell r="H124">
            <v>0</v>
          </cell>
          <cell r="I124" t="str">
            <v>Infinity</v>
          </cell>
          <cell r="K124">
            <v>28082</v>
          </cell>
        </row>
        <row r="125">
          <cell r="A125" t="str">
            <v>10363719-8Total</v>
          </cell>
          <cell r="B125" t="str">
            <v>10363719-8</v>
          </cell>
          <cell r="C125" t="str">
            <v>GOMEZ AGUAYO ALDO</v>
          </cell>
          <cell r="D125" t="str">
            <v>Total</v>
          </cell>
          <cell r="G125">
            <v>311000</v>
          </cell>
          <cell r="H125">
            <v>0</v>
          </cell>
          <cell r="I125" t="str">
            <v>Infinity</v>
          </cell>
          <cell r="K125">
            <v>28082</v>
          </cell>
        </row>
        <row r="126">
          <cell r="A126" t="str">
            <v>14040181-1LN-08 NEUMA</v>
          </cell>
          <cell r="B126" t="str">
            <v>14040181-1</v>
          </cell>
          <cell r="C126" t="str">
            <v>OMAR RODRIGO CARDENAS CASTRO</v>
          </cell>
          <cell r="D126" t="str">
            <v>LN-08 NEUMA</v>
          </cell>
          <cell r="G126">
            <v>235000</v>
          </cell>
          <cell r="H126">
            <v>0</v>
          </cell>
          <cell r="I126" t="str">
            <v>Infinity</v>
          </cell>
          <cell r="K126">
            <v>70004</v>
          </cell>
        </row>
        <row r="127">
          <cell r="A127" t="str">
            <v>14040181-1Total</v>
          </cell>
          <cell r="B127" t="str">
            <v>14040181-1</v>
          </cell>
          <cell r="C127" t="str">
            <v>OMAR RODRIGO CARDENAS CASTRO</v>
          </cell>
          <cell r="D127" t="str">
            <v>Total</v>
          </cell>
          <cell r="G127">
            <v>235000</v>
          </cell>
          <cell r="H127">
            <v>0</v>
          </cell>
          <cell r="I127" t="str">
            <v>Infinity</v>
          </cell>
          <cell r="K127">
            <v>70004</v>
          </cell>
        </row>
        <row r="128">
          <cell r="A128" t="str">
            <v>10547940-9LN-07 FERRET</v>
          </cell>
          <cell r="B128" t="str">
            <v>10547940-9</v>
          </cell>
          <cell r="C128" t="str">
            <v>VICENTE RAFAEL ANWANDTER AGUERO</v>
          </cell>
          <cell r="D128" t="str">
            <v>LN-07 FERRET</v>
          </cell>
          <cell r="G128">
            <v>205640</v>
          </cell>
          <cell r="H128">
            <v>0</v>
          </cell>
          <cell r="I128" t="str">
            <v>Infinity</v>
          </cell>
          <cell r="K128">
            <v>41340</v>
          </cell>
        </row>
        <row r="129">
          <cell r="A129" t="str">
            <v>10547940-9LN-02 NUTRIC</v>
          </cell>
          <cell r="B129" t="str">
            <v>10547940-9</v>
          </cell>
          <cell r="C129" t="str">
            <v>VICENTE RAFAEL ANWANDTER AGUERO</v>
          </cell>
          <cell r="D129" t="str">
            <v>LN-02 NUTRIC</v>
          </cell>
          <cell r="E129">
            <v>14725</v>
          </cell>
        </row>
        <row r="130">
          <cell r="A130" t="str">
            <v>10547940-9Total</v>
          </cell>
          <cell r="B130" t="str">
            <v>10547940-9</v>
          </cell>
          <cell r="C130" t="str">
            <v>VICENTE RAFAEL ANWANDTER AGUERO</v>
          </cell>
          <cell r="D130" t="str">
            <v>Total</v>
          </cell>
          <cell r="E130">
            <v>14725</v>
          </cell>
          <cell r="G130">
            <v>205640</v>
          </cell>
          <cell r="H130">
            <v>0</v>
          </cell>
          <cell r="I130">
            <v>13.965365025466893</v>
          </cell>
          <cell r="K130">
            <v>41340</v>
          </cell>
        </row>
        <row r="131">
          <cell r="A131" t="str">
            <v>13847901-3LN-07 FERRET</v>
          </cell>
          <cell r="B131" t="str">
            <v>13847901-3</v>
          </cell>
          <cell r="C131" t="str">
            <v>ELIBERTO  JOSE  MARTINEZ QUISIAN</v>
          </cell>
          <cell r="D131" t="str">
            <v>LN-07 FERRET</v>
          </cell>
          <cell r="G131">
            <v>154000</v>
          </cell>
          <cell r="H131">
            <v>0</v>
          </cell>
          <cell r="I131" t="str">
            <v>Infinity</v>
          </cell>
          <cell r="K131">
            <v>23360</v>
          </cell>
        </row>
        <row r="132">
          <cell r="A132" t="str">
            <v>13847901-3LN-20 FERTIL</v>
          </cell>
          <cell r="B132" t="str">
            <v>13847901-3</v>
          </cell>
          <cell r="C132" t="str">
            <v>ELIBERTO  JOSE  MARTINEZ QUISIAN</v>
          </cell>
          <cell r="D132" t="str">
            <v>LN-20 FERTIL</v>
          </cell>
          <cell r="E132">
            <v>139900</v>
          </cell>
        </row>
        <row r="133">
          <cell r="A133" t="str">
            <v>13847901-3Total</v>
          </cell>
          <cell r="B133" t="str">
            <v>13847901-3</v>
          </cell>
          <cell r="C133" t="str">
            <v>ELIBERTO  JOSE  MARTINEZ QUISIAN</v>
          </cell>
          <cell r="D133" t="str">
            <v>Total</v>
          </cell>
          <cell r="E133">
            <v>139900</v>
          </cell>
          <cell r="G133">
            <v>154000</v>
          </cell>
          <cell r="H133">
            <v>0</v>
          </cell>
          <cell r="I133">
            <v>1.1007862759113654</v>
          </cell>
          <cell r="K133">
            <v>23360</v>
          </cell>
        </row>
        <row r="134">
          <cell r="A134" t="str">
            <v>11917576-3LN-05 FARMA</v>
          </cell>
          <cell r="B134" t="str">
            <v>11917576-3</v>
          </cell>
          <cell r="C134" t="str">
            <v>SANDRA ODETTE MARTINEZ SOTO</v>
          </cell>
          <cell r="D134" t="str">
            <v>LN-05 FARMA</v>
          </cell>
          <cell r="G134">
            <v>67200</v>
          </cell>
          <cell r="H134">
            <v>0</v>
          </cell>
          <cell r="I134" t="str">
            <v>Infinity</v>
          </cell>
          <cell r="K134">
            <v>8380</v>
          </cell>
        </row>
        <row r="135">
          <cell r="A135" t="str">
            <v>11917576-3Total</v>
          </cell>
          <cell r="B135" t="str">
            <v>11917576-3</v>
          </cell>
          <cell r="C135" t="str">
            <v>SANDRA ODETTE MARTINEZ SOTO</v>
          </cell>
          <cell r="D135" t="str">
            <v>Total</v>
          </cell>
          <cell r="G135">
            <v>67200</v>
          </cell>
          <cell r="H135">
            <v>0</v>
          </cell>
          <cell r="I135" t="str">
            <v>Infinity</v>
          </cell>
          <cell r="K135">
            <v>8380</v>
          </cell>
        </row>
        <row r="136">
          <cell r="A136" t="str">
            <v>13735282-6LN-08 NEUMA</v>
          </cell>
          <cell r="B136" t="str">
            <v>13735282-6</v>
          </cell>
          <cell r="C136" t="str">
            <v>YOHANA  PAOLA SAEZ CATALAN</v>
          </cell>
          <cell r="D136" t="str">
            <v>LN-08 NEUMA</v>
          </cell>
          <cell r="E136">
            <v>426891</v>
          </cell>
        </row>
        <row r="137">
          <cell r="A137" t="str">
            <v>13735282-6Total</v>
          </cell>
          <cell r="B137" t="str">
            <v>13735282-6</v>
          </cell>
          <cell r="C137" t="str">
            <v>YOHANA  PAOLA SAEZ CATALAN</v>
          </cell>
          <cell r="D137" t="str">
            <v>Total</v>
          </cell>
          <cell r="E137">
            <v>426891</v>
          </cell>
        </row>
        <row r="138">
          <cell r="A138" t="str">
            <v>16013944-7LN-19 RIEGO</v>
          </cell>
          <cell r="B138" t="str">
            <v>16013944-7</v>
          </cell>
          <cell r="C138" t="str">
            <v>CARLOS NAZRALA HARCHA</v>
          </cell>
          <cell r="D138" t="str">
            <v>LN-19 RIEGO</v>
          </cell>
          <cell r="E138">
            <v>64487304.000000007</v>
          </cell>
        </row>
        <row r="139">
          <cell r="A139" t="str">
            <v>16013944-7Total</v>
          </cell>
          <cell r="B139" t="str">
            <v>16013944-7</v>
          </cell>
          <cell r="C139" t="str">
            <v>CARLOS NAZRALA HARCHA</v>
          </cell>
          <cell r="D139" t="str">
            <v>Total</v>
          </cell>
          <cell r="E139">
            <v>64487304.000000007</v>
          </cell>
        </row>
        <row r="140">
          <cell r="A140" t="str">
            <v>17890963-0LN-05 FARMA</v>
          </cell>
          <cell r="B140" t="str">
            <v>17890963-0</v>
          </cell>
          <cell r="C140" t="str">
            <v>MEDEL ASENCIO BELEN CAMILA</v>
          </cell>
          <cell r="D140" t="str">
            <v>LN-05 FARMA</v>
          </cell>
          <cell r="E140">
            <v>21800</v>
          </cell>
        </row>
        <row r="141">
          <cell r="A141" t="str">
            <v>17890963-0LN-20 FERTIL</v>
          </cell>
          <cell r="B141" t="str">
            <v>17890963-0</v>
          </cell>
          <cell r="C141" t="str">
            <v>MEDEL ASENCIO BELEN CAMILA</v>
          </cell>
          <cell r="D141" t="str">
            <v>LN-20 FERTIL</v>
          </cell>
          <cell r="E141">
            <v>2235000</v>
          </cell>
        </row>
        <row r="142">
          <cell r="A142" t="str">
            <v>17890963-0Total</v>
          </cell>
          <cell r="B142" t="str">
            <v>17890963-0</v>
          </cell>
          <cell r="C142" t="str">
            <v>MEDEL ASENCIO BELEN CAMILA</v>
          </cell>
          <cell r="D142" t="str">
            <v>Total</v>
          </cell>
          <cell r="E142">
            <v>2256800</v>
          </cell>
        </row>
        <row r="143">
          <cell r="A143" t="str">
            <v>18020285-4LN-01 AGROIN</v>
          </cell>
          <cell r="B143" t="str">
            <v>18020285-4</v>
          </cell>
          <cell r="C143" t="str">
            <v>JOSE TOMAS MUNOZ FONTT</v>
          </cell>
          <cell r="D143" t="str">
            <v>LN-01 AGROIN</v>
          </cell>
          <cell r="E143">
            <v>49000</v>
          </cell>
        </row>
        <row r="144">
          <cell r="A144" t="str">
            <v>18020285-4Total</v>
          </cell>
          <cell r="B144" t="str">
            <v>18020285-4</v>
          </cell>
          <cell r="C144" t="str">
            <v>JOSE TOMAS MUNOZ FONTT</v>
          </cell>
          <cell r="D144" t="str">
            <v>Total</v>
          </cell>
          <cell r="E144">
            <v>49000</v>
          </cell>
        </row>
        <row r="145">
          <cell r="A145" t="str">
            <v>18392063-4LN-08 NEUMA</v>
          </cell>
          <cell r="B145" t="str">
            <v>18392063-4</v>
          </cell>
          <cell r="C145" t="str">
            <v>STEFANO CAVALIERI VALENCIA</v>
          </cell>
          <cell r="D145" t="str">
            <v>LN-08 NEUMA</v>
          </cell>
          <cell r="E145">
            <v>17751840</v>
          </cell>
        </row>
        <row r="146">
          <cell r="A146" t="str">
            <v>18392063-4Total</v>
          </cell>
          <cell r="B146" t="str">
            <v>18392063-4</v>
          </cell>
          <cell r="C146" t="str">
            <v>STEFANO CAVALIERI VALENCIA</v>
          </cell>
          <cell r="D146" t="str">
            <v>Total</v>
          </cell>
          <cell r="E146">
            <v>17751840</v>
          </cell>
        </row>
        <row r="147">
          <cell r="A147" t="str">
            <v>18577557-7LN-02 NUTRIC</v>
          </cell>
          <cell r="B147" t="str">
            <v>18577557-7</v>
          </cell>
          <cell r="C147" t="str">
            <v>STANGE HERRERA IGNACIO</v>
          </cell>
          <cell r="D147" t="str">
            <v>LN-02 NUTRIC</v>
          </cell>
          <cell r="E147">
            <v>1599375</v>
          </cell>
        </row>
        <row r="148">
          <cell r="A148" t="str">
            <v>18577557-7LN-03 MAQUIN</v>
          </cell>
          <cell r="B148" t="str">
            <v>18577557-7</v>
          </cell>
          <cell r="C148" t="str">
            <v>STANGE HERRERA IGNACIO</v>
          </cell>
          <cell r="D148" t="str">
            <v>LN-03 MAQUIN</v>
          </cell>
          <cell r="E148">
            <v>24800000</v>
          </cell>
        </row>
        <row r="149">
          <cell r="A149" t="str">
            <v>18577557-7Total</v>
          </cell>
          <cell r="B149" t="str">
            <v>18577557-7</v>
          </cell>
          <cell r="C149" t="str">
            <v>STANGE HERRERA IGNACIO</v>
          </cell>
          <cell r="D149" t="str">
            <v>Total</v>
          </cell>
          <cell r="E149">
            <v>26399375</v>
          </cell>
        </row>
        <row r="150">
          <cell r="A150" t="str">
            <v>19086220-8LN-01 AGROIN</v>
          </cell>
          <cell r="B150" t="str">
            <v>19086220-8</v>
          </cell>
          <cell r="C150" t="str">
            <v>JUAN MONSALVE JIMENEZ</v>
          </cell>
          <cell r="D150" t="str">
            <v>LN-01 AGROIN</v>
          </cell>
          <cell r="E150">
            <v>5117100</v>
          </cell>
        </row>
        <row r="151">
          <cell r="A151" t="str">
            <v>19086220-8LN-05 FARMA</v>
          </cell>
          <cell r="B151" t="str">
            <v>19086220-8</v>
          </cell>
          <cell r="C151" t="str">
            <v>JUAN MONSALVE JIMENEZ</v>
          </cell>
          <cell r="D151" t="str">
            <v>LN-05 FARMA</v>
          </cell>
          <cell r="E151">
            <v>1936000</v>
          </cell>
        </row>
        <row r="152">
          <cell r="A152" t="str">
            <v>19086220-8LN-20 FERTIL</v>
          </cell>
          <cell r="B152" t="str">
            <v>19086220-8</v>
          </cell>
          <cell r="C152" t="str">
            <v>JUAN MONSALVE JIMENEZ</v>
          </cell>
          <cell r="D152" t="str">
            <v>LN-20 FERTIL</v>
          </cell>
          <cell r="E152">
            <v>1274600</v>
          </cell>
        </row>
        <row r="153">
          <cell r="A153" t="str">
            <v>19086220-8Total</v>
          </cell>
          <cell r="B153" t="str">
            <v>19086220-8</v>
          </cell>
          <cell r="C153" t="str">
            <v>JUAN MONSALVE JIMENEZ</v>
          </cell>
          <cell r="D153" t="str">
            <v>Total</v>
          </cell>
          <cell r="E153">
            <v>8327700</v>
          </cell>
        </row>
        <row r="154">
          <cell r="A154" t="str">
            <v>44444444-4LN-07 FERRET</v>
          </cell>
          <cell r="B154" t="str">
            <v>44444444-4</v>
          </cell>
          <cell r="C154" t="str">
            <v>E-COMMERCE</v>
          </cell>
          <cell r="D154" t="str">
            <v>LN-07 FERRET</v>
          </cell>
          <cell r="E154">
            <v>5143</v>
          </cell>
        </row>
        <row r="155">
          <cell r="A155" t="str">
            <v>44444444-4Total</v>
          </cell>
          <cell r="B155" t="str">
            <v>44444444-4</v>
          </cell>
          <cell r="C155" t="str">
            <v>E-COMMERCE</v>
          </cell>
          <cell r="D155" t="str">
            <v>Total</v>
          </cell>
          <cell r="E155">
            <v>5143</v>
          </cell>
        </row>
        <row r="156">
          <cell r="A156" t="str">
            <v>8796895-2LN-01 AGROIN</v>
          </cell>
          <cell r="B156" t="str">
            <v>8796895-2</v>
          </cell>
          <cell r="C156" t="str">
            <v>IVAN  ANDRES URIBE URIBE</v>
          </cell>
          <cell r="D156" t="str">
            <v>LN-01 AGROIN</v>
          </cell>
          <cell r="E156">
            <v>69000</v>
          </cell>
        </row>
        <row r="157">
          <cell r="A157" t="str">
            <v>8796895-2Total</v>
          </cell>
          <cell r="B157" t="str">
            <v>8796895-2</v>
          </cell>
          <cell r="C157" t="str">
            <v>IVAN  ANDRES URIBE URIBE</v>
          </cell>
          <cell r="D157" t="str">
            <v>Total</v>
          </cell>
          <cell r="E157">
            <v>69000</v>
          </cell>
        </row>
        <row r="158">
          <cell r="A158" t="str">
            <v>Total</v>
          </cell>
          <cell r="B158" t="str">
            <v>Total</v>
          </cell>
          <cell r="E158">
            <v>9985568800.8899994</v>
          </cell>
          <cell r="F158">
            <v>11824587855.855711</v>
          </cell>
          <cell r="G158">
            <v>10391188794.610001</v>
          </cell>
          <cell r="H158">
            <v>0.87877809537895479</v>
          </cell>
          <cell r="I158">
            <v>1.0406206197972268</v>
          </cell>
          <cell r="J158">
            <v>1130703053.6402359</v>
          </cell>
          <cell r="K158">
            <v>926698677.61000061</v>
          </cell>
          <cell r="L158">
            <v>0.81957740772570264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DEBB-C58F-459E-9EC6-0E2FCE171708}">
  <dimension ref="B2:W37"/>
  <sheetViews>
    <sheetView tabSelected="1" topLeftCell="A3" zoomScale="80" zoomScaleNormal="80" workbookViewId="0">
      <pane ySplit="4" topLeftCell="A7" activePane="bottomLeft" state="frozenSplit"/>
      <selection activeCell="A3" sqref="A3"/>
      <selection pane="bottomLeft" activeCell="U15" sqref="U15:V15"/>
    </sheetView>
  </sheetViews>
  <sheetFormatPr baseColWidth="10" defaultRowHeight="14.5" x14ac:dyDescent="0.35"/>
  <cols>
    <col min="1" max="1" width="4.54296875" customWidth="1"/>
    <col min="2" max="2" width="8.90625" customWidth="1"/>
    <col min="3" max="3" width="36" bestFit="1" customWidth="1"/>
    <col min="4" max="4" width="11.81640625" bestFit="1" customWidth="1"/>
    <col min="5" max="5" width="29.1796875" customWidth="1"/>
    <col min="6" max="6" width="21.7265625" customWidth="1"/>
    <col min="7" max="8" width="12" bestFit="1" customWidth="1"/>
    <col min="10" max="10" width="17.26953125" bestFit="1" customWidth="1"/>
    <col min="11" max="11" width="17.81640625" bestFit="1" customWidth="1"/>
    <col min="12" max="13" width="16.453125" customWidth="1"/>
    <col min="14" max="14" width="23.54296875" bestFit="1" customWidth="1"/>
    <col min="15" max="15" width="18" bestFit="1" customWidth="1"/>
    <col min="16" max="16" width="18.54296875" bestFit="1" customWidth="1"/>
    <col min="21" max="21" width="13.54296875" bestFit="1" customWidth="1"/>
    <col min="22" max="22" width="12.6328125" bestFit="1" customWidth="1"/>
    <col min="23" max="23" width="11.453125" bestFit="1" customWidth="1"/>
  </cols>
  <sheetData>
    <row r="2" spans="2:23" ht="28.5" x14ac:dyDescent="0.65">
      <c r="G2" s="5"/>
      <c r="H2" s="5"/>
      <c r="I2" s="5"/>
      <c r="J2" s="5"/>
      <c r="K2" s="5"/>
      <c r="L2" s="5"/>
      <c r="M2" s="5"/>
    </row>
    <row r="3" spans="2:23" x14ac:dyDescent="0.35">
      <c r="J3" s="4" t="s">
        <v>32</v>
      </c>
      <c r="K3" s="22">
        <f>SUM(J7:J37)</f>
        <v>6266000</v>
      </c>
    </row>
    <row r="5" spans="2:23" ht="15" thickBot="1" x14ac:dyDescent="0.4"/>
    <row r="6" spans="2:23" x14ac:dyDescent="0.35">
      <c r="B6" s="71" t="s">
        <v>125</v>
      </c>
      <c r="C6" s="3" t="s">
        <v>1</v>
      </c>
      <c r="D6" s="3" t="s">
        <v>22</v>
      </c>
      <c r="E6" s="3" t="s">
        <v>0</v>
      </c>
      <c r="F6" s="3" t="s">
        <v>79</v>
      </c>
      <c r="G6" s="3" t="s">
        <v>20</v>
      </c>
      <c r="H6" s="3" t="s">
        <v>2</v>
      </c>
      <c r="I6" s="25" t="s">
        <v>28</v>
      </c>
      <c r="J6" s="25" t="s">
        <v>29</v>
      </c>
      <c r="K6" s="3" t="s">
        <v>25</v>
      </c>
      <c r="L6" s="3" t="s">
        <v>26</v>
      </c>
      <c r="M6" s="3" t="s">
        <v>31</v>
      </c>
      <c r="N6" s="3" t="s">
        <v>30</v>
      </c>
      <c r="O6" s="3" t="s">
        <v>33</v>
      </c>
      <c r="P6" s="3" t="s">
        <v>27</v>
      </c>
      <c r="Q6" s="73" t="s">
        <v>7</v>
      </c>
      <c r="R6" s="73" t="s">
        <v>8</v>
      </c>
      <c r="S6" s="73" t="s">
        <v>9</v>
      </c>
      <c r="T6" s="73" t="s">
        <v>96</v>
      </c>
      <c r="U6" s="73" t="s">
        <v>97</v>
      </c>
      <c r="V6" s="73" t="s">
        <v>98</v>
      </c>
      <c r="W6" s="73" t="s">
        <v>99</v>
      </c>
    </row>
    <row r="7" spans="2:23" x14ac:dyDescent="0.35">
      <c r="B7" s="1"/>
      <c r="C7" s="26" t="s">
        <v>21</v>
      </c>
      <c r="D7" s="2" t="s">
        <v>23</v>
      </c>
      <c r="E7" s="1" t="s">
        <v>24</v>
      </c>
      <c r="F7" s="2">
        <v>10</v>
      </c>
      <c r="G7" s="20">
        <v>690000</v>
      </c>
      <c r="H7" s="20">
        <v>700000</v>
      </c>
      <c r="I7" s="20">
        <f>H7-G7</f>
        <v>10000</v>
      </c>
      <c r="J7" s="20">
        <f t="shared" ref="J7:J14" si="0">I7*F7</f>
        <v>100000</v>
      </c>
      <c r="K7" s="2">
        <v>120</v>
      </c>
      <c r="L7" s="23">
        <v>46081</v>
      </c>
      <c r="M7" s="24">
        <v>0.02</v>
      </c>
      <c r="N7" s="21">
        <f t="shared" ref="N7:N14" si="1">H7*F7</f>
        <v>7000000</v>
      </c>
      <c r="O7" s="21">
        <f t="shared" ref="O7:O14" si="2">N7*M7</f>
        <v>140000</v>
      </c>
      <c r="P7" s="21">
        <f t="shared" ref="P7:P14" si="3">N7+O7</f>
        <v>7140000</v>
      </c>
      <c r="Q7" s="1"/>
      <c r="R7" s="1"/>
      <c r="S7" s="1"/>
      <c r="T7" s="1"/>
      <c r="U7" s="1"/>
      <c r="V7" s="1"/>
      <c r="W7" s="1"/>
    </row>
    <row r="8" spans="2:23" x14ac:dyDescent="0.35">
      <c r="B8" s="1"/>
      <c r="C8" s="26" t="s">
        <v>107</v>
      </c>
      <c r="D8" s="1" t="s">
        <v>86</v>
      </c>
      <c r="E8" s="1" t="s">
        <v>108</v>
      </c>
      <c r="F8" s="2">
        <v>80</v>
      </c>
      <c r="G8" s="20">
        <v>692500</v>
      </c>
      <c r="H8" s="20">
        <v>702500</v>
      </c>
      <c r="I8" s="20">
        <f>H8-G8</f>
        <v>10000</v>
      </c>
      <c r="J8" s="20">
        <f t="shared" si="0"/>
        <v>800000</v>
      </c>
      <c r="K8" s="2">
        <v>90</v>
      </c>
      <c r="L8" s="23">
        <v>45853</v>
      </c>
      <c r="M8" s="24">
        <v>0.02</v>
      </c>
      <c r="N8" s="21">
        <f t="shared" si="1"/>
        <v>56200000</v>
      </c>
      <c r="O8" s="21">
        <f t="shared" si="2"/>
        <v>1124000</v>
      </c>
      <c r="P8" s="21">
        <f t="shared" si="3"/>
        <v>57324000</v>
      </c>
      <c r="Q8" s="1"/>
      <c r="R8" s="1"/>
      <c r="S8" s="1"/>
      <c r="T8" s="1"/>
      <c r="U8" s="1"/>
      <c r="V8" s="1"/>
      <c r="W8" s="1"/>
    </row>
    <row r="9" spans="2:23" x14ac:dyDescent="0.35">
      <c r="B9" s="1"/>
      <c r="C9" s="1"/>
      <c r="D9" s="1"/>
      <c r="E9" s="1" t="s">
        <v>109</v>
      </c>
      <c r="F9" s="2">
        <v>10</v>
      </c>
      <c r="G9" s="20">
        <v>428800</v>
      </c>
      <c r="H9" s="20">
        <v>438800</v>
      </c>
      <c r="I9" s="20">
        <f>H9-G9</f>
        <v>10000</v>
      </c>
      <c r="J9" s="20">
        <f t="shared" si="0"/>
        <v>100000</v>
      </c>
      <c r="K9" s="2">
        <v>90</v>
      </c>
      <c r="L9" s="23">
        <v>45853</v>
      </c>
      <c r="M9" s="24">
        <v>0.02</v>
      </c>
      <c r="N9" s="21">
        <f t="shared" si="1"/>
        <v>4388000</v>
      </c>
      <c r="O9" s="21">
        <f t="shared" si="2"/>
        <v>87760</v>
      </c>
      <c r="P9" s="21">
        <f t="shared" si="3"/>
        <v>4475760</v>
      </c>
      <c r="Q9" s="1"/>
      <c r="R9" s="1"/>
      <c r="S9" s="1"/>
      <c r="T9" s="1"/>
      <c r="U9" s="1"/>
      <c r="V9" s="1"/>
      <c r="W9" s="1"/>
    </row>
    <row r="10" spans="2:23" x14ac:dyDescent="0.35">
      <c r="B10" s="72"/>
      <c r="C10" s="26" t="s">
        <v>41</v>
      </c>
      <c r="D10" s="2" t="s">
        <v>44</v>
      </c>
      <c r="E10" s="1" t="s">
        <v>42</v>
      </c>
      <c r="F10" s="2">
        <v>18</v>
      </c>
      <c r="G10" s="20">
        <v>746600</v>
      </c>
      <c r="H10" s="20">
        <v>756600</v>
      </c>
      <c r="I10" s="20">
        <f>H10-G10</f>
        <v>10000</v>
      </c>
      <c r="J10" s="20">
        <f t="shared" si="0"/>
        <v>180000</v>
      </c>
      <c r="K10" s="2">
        <v>90</v>
      </c>
      <c r="L10" s="23">
        <v>45777</v>
      </c>
      <c r="M10" s="24">
        <v>0.04</v>
      </c>
      <c r="N10" s="21">
        <f t="shared" si="1"/>
        <v>13618800</v>
      </c>
      <c r="O10" s="21">
        <f t="shared" si="2"/>
        <v>544752</v>
      </c>
      <c r="P10" s="21">
        <f t="shared" si="3"/>
        <v>14163552</v>
      </c>
      <c r="Q10" s="1"/>
      <c r="R10" s="1"/>
      <c r="S10" s="1"/>
      <c r="T10" s="1"/>
      <c r="U10" s="1"/>
      <c r="V10" s="1"/>
      <c r="W10" s="1"/>
    </row>
    <row r="11" spans="2:23" x14ac:dyDescent="0.35">
      <c r="B11" s="72"/>
      <c r="C11" s="1"/>
      <c r="D11" s="1"/>
      <c r="E11" s="1" t="s">
        <v>45</v>
      </c>
      <c r="F11" s="2">
        <v>1</v>
      </c>
      <c r="G11" s="20">
        <v>530000</v>
      </c>
      <c r="H11" s="20">
        <v>540000</v>
      </c>
      <c r="I11" s="20">
        <f>H11-G11</f>
        <v>10000</v>
      </c>
      <c r="J11" s="20">
        <f t="shared" si="0"/>
        <v>10000</v>
      </c>
      <c r="K11" s="2">
        <v>90</v>
      </c>
      <c r="L11" s="23">
        <v>45777</v>
      </c>
      <c r="M11" s="24">
        <v>0.04</v>
      </c>
      <c r="N11" s="21">
        <f t="shared" si="1"/>
        <v>540000</v>
      </c>
      <c r="O11" s="21">
        <f t="shared" si="2"/>
        <v>21600</v>
      </c>
      <c r="P11" s="21">
        <f t="shared" si="3"/>
        <v>561600</v>
      </c>
      <c r="Q11" s="1"/>
      <c r="R11" s="1"/>
      <c r="S11" s="1"/>
      <c r="T11" s="1"/>
      <c r="U11" s="1"/>
      <c r="V11" s="1"/>
      <c r="W11" s="1"/>
    </row>
    <row r="12" spans="2:23" x14ac:dyDescent="0.35">
      <c r="B12" s="72"/>
      <c r="C12" s="1"/>
      <c r="D12" s="1"/>
      <c r="E12" s="1" t="s">
        <v>43</v>
      </c>
      <c r="F12" s="2">
        <v>2</v>
      </c>
      <c r="G12" s="20">
        <v>465000</v>
      </c>
      <c r="H12" s="20">
        <v>475000</v>
      </c>
      <c r="I12" s="20">
        <f t="shared" ref="I12:I14" si="4">H12-G12</f>
        <v>10000</v>
      </c>
      <c r="J12" s="20">
        <f t="shared" si="0"/>
        <v>20000</v>
      </c>
      <c r="K12" s="2">
        <v>90</v>
      </c>
      <c r="L12" s="23">
        <v>45777</v>
      </c>
      <c r="M12" s="24">
        <v>0.04</v>
      </c>
      <c r="N12" s="21">
        <f t="shared" si="1"/>
        <v>950000</v>
      </c>
      <c r="O12" s="21">
        <f t="shared" si="2"/>
        <v>38000</v>
      </c>
      <c r="P12" s="21">
        <f t="shared" si="3"/>
        <v>988000</v>
      </c>
      <c r="Q12" s="1"/>
      <c r="R12" s="1"/>
      <c r="S12" s="1"/>
      <c r="T12" s="1"/>
      <c r="U12" s="1"/>
      <c r="V12" s="1"/>
      <c r="W12" s="1"/>
    </row>
    <row r="13" spans="2:23" x14ac:dyDescent="0.35">
      <c r="B13" s="72"/>
      <c r="C13" s="26" t="s">
        <v>50</v>
      </c>
      <c r="D13" s="1" t="s">
        <v>51</v>
      </c>
      <c r="E13" s="1" t="s">
        <v>52</v>
      </c>
      <c r="F13" s="2">
        <v>3.5</v>
      </c>
      <c r="G13" s="20">
        <v>616200</v>
      </c>
      <c r="H13" s="20">
        <v>626200</v>
      </c>
      <c r="I13" s="20">
        <f t="shared" si="4"/>
        <v>10000</v>
      </c>
      <c r="J13" s="20">
        <f t="shared" si="0"/>
        <v>35000</v>
      </c>
      <c r="K13" s="2">
        <v>90</v>
      </c>
      <c r="L13" s="23">
        <v>45777</v>
      </c>
      <c r="M13" s="24">
        <v>0.04</v>
      </c>
      <c r="N13" s="21">
        <f t="shared" si="1"/>
        <v>2191700</v>
      </c>
      <c r="O13" s="21">
        <f t="shared" si="2"/>
        <v>87668</v>
      </c>
      <c r="P13" s="21">
        <f t="shared" si="3"/>
        <v>2279368</v>
      </c>
      <c r="Q13" s="1"/>
      <c r="R13" s="1"/>
      <c r="S13" s="1"/>
      <c r="T13" s="1"/>
      <c r="U13" s="1"/>
      <c r="V13" s="1"/>
      <c r="W13" s="1"/>
    </row>
    <row r="14" spans="2:23" x14ac:dyDescent="0.35">
      <c r="B14" s="72"/>
      <c r="C14" s="1"/>
      <c r="D14" s="1"/>
      <c r="E14" s="1" t="s">
        <v>53</v>
      </c>
      <c r="F14" s="2">
        <v>7.5</v>
      </c>
      <c r="G14" s="20">
        <v>545000</v>
      </c>
      <c r="H14" s="20">
        <v>555000</v>
      </c>
      <c r="I14" s="20">
        <f t="shared" si="4"/>
        <v>10000</v>
      </c>
      <c r="J14" s="20">
        <f t="shared" si="0"/>
        <v>75000</v>
      </c>
      <c r="K14" s="2">
        <v>90</v>
      </c>
      <c r="L14" s="23">
        <v>45777</v>
      </c>
      <c r="M14" s="24">
        <v>0.04</v>
      </c>
      <c r="N14" s="21">
        <f t="shared" si="1"/>
        <v>4162500</v>
      </c>
      <c r="O14" s="21">
        <f t="shared" si="2"/>
        <v>166500</v>
      </c>
      <c r="P14" s="21">
        <f t="shared" si="3"/>
        <v>4329000</v>
      </c>
      <c r="Q14" s="1"/>
      <c r="R14" s="1"/>
      <c r="S14" s="1"/>
      <c r="T14" s="1"/>
      <c r="U14" s="1"/>
      <c r="V14" s="1"/>
      <c r="W14" s="1"/>
    </row>
    <row r="15" spans="2:23" x14ac:dyDescent="0.35">
      <c r="B15" s="72"/>
      <c r="C15" s="1"/>
      <c r="D15" s="1"/>
      <c r="E15" s="1"/>
      <c r="F15" s="2"/>
      <c r="G15" s="20"/>
      <c r="H15" s="20"/>
      <c r="I15" s="20"/>
      <c r="J15" s="20"/>
      <c r="K15" s="2"/>
      <c r="L15" s="23"/>
      <c r="M15" s="24"/>
      <c r="N15" s="21"/>
      <c r="O15" s="21"/>
      <c r="P15" s="21"/>
      <c r="Q15" s="1"/>
      <c r="R15" s="1"/>
      <c r="S15" s="1"/>
      <c r="T15" s="1"/>
      <c r="U15" s="1"/>
      <c r="V15" s="1"/>
      <c r="W15" s="1"/>
    </row>
    <row r="16" spans="2:23" x14ac:dyDescent="0.35">
      <c r="B16" s="72"/>
      <c r="C16" s="26" t="s">
        <v>46</v>
      </c>
      <c r="D16" s="2" t="s">
        <v>47</v>
      </c>
      <c r="E16" s="1" t="s">
        <v>49</v>
      </c>
      <c r="F16" s="2">
        <v>12</v>
      </c>
      <c r="G16" s="20">
        <v>545000</v>
      </c>
      <c r="H16" s="20">
        <v>555000</v>
      </c>
      <c r="I16" s="20">
        <f t="shared" ref="I16:I37" si="5">H16-G16</f>
        <v>10000</v>
      </c>
      <c r="J16" s="20">
        <f t="shared" ref="J16:J37" si="6">I16*F16</f>
        <v>120000</v>
      </c>
      <c r="K16" s="2">
        <v>90</v>
      </c>
      <c r="L16" s="23">
        <v>45777</v>
      </c>
      <c r="M16" s="24">
        <v>0.04</v>
      </c>
      <c r="N16" s="21">
        <f t="shared" ref="N16:N37" si="7">H16*F16</f>
        <v>6660000</v>
      </c>
      <c r="O16" s="21">
        <f t="shared" ref="O16:O37" si="8">N16*M16</f>
        <v>266400</v>
      </c>
      <c r="P16" s="21">
        <f t="shared" ref="P16:P37" si="9">N16+O16</f>
        <v>6926400</v>
      </c>
      <c r="Q16" s="1"/>
      <c r="R16" s="1"/>
      <c r="S16" s="1"/>
      <c r="T16" s="1"/>
      <c r="U16" s="1"/>
      <c r="V16" s="1"/>
      <c r="W16" s="1"/>
    </row>
    <row r="17" spans="2:23" x14ac:dyDescent="0.35">
      <c r="B17" s="72"/>
      <c r="C17" s="1"/>
      <c r="D17" s="1"/>
      <c r="E17" s="1" t="s">
        <v>48</v>
      </c>
      <c r="F17" s="2">
        <v>8</v>
      </c>
      <c r="G17" s="20">
        <v>478000</v>
      </c>
      <c r="H17" s="20">
        <v>493000</v>
      </c>
      <c r="I17" s="20">
        <f t="shared" si="5"/>
        <v>15000</v>
      </c>
      <c r="J17" s="20">
        <f t="shared" si="6"/>
        <v>120000</v>
      </c>
      <c r="K17" s="2">
        <v>90</v>
      </c>
      <c r="L17" s="23">
        <v>45777</v>
      </c>
      <c r="M17" s="24">
        <v>0.04</v>
      </c>
      <c r="N17" s="21">
        <f t="shared" si="7"/>
        <v>3944000</v>
      </c>
      <c r="O17" s="21">
        <f t="shared" si="8"/>
        <v>157760</v>
      </c>
      <c r="P17" s="21">
        <f t="shared" si="9"/>
        <v>4101760</v>
      </c>
      <c r="Q17" s="1"/>
      <c r="R17" s="1"/>
      <c r="S17" s="1"/>
      <c r="T17" s="1"/>
      <c r="U17" s="1"/>
      <c r="V17" s="1"/>
      <c r="W17" s="1"/>
    </row>
    <row r="18" spans="2:23" x14ac:dyDescent="0.35">
      <c r="B18" s="72"/>
      <c r="C18" s="26" t="s">
        <v>10</v>
      </c>
      <c r="D18" s="1" t="s">
        <v>68</v>
      </c>
      <c r="E18" s="1" t="s">
        <v>69</v>
      </c>
      <c r="F18" s="2">
        <v>10</v>
      </c>
      <c r="G18" s="20">
        <v>485000</v>
      </c>
      <c r="H18" s="20">
        <v>495000</v>
      </c>
      <c r="I18" s="20">
        <f t="shared" si="5"/>
        <v>10000</v>
      </c>
      <c r="J18" s="20">
        <f t="shared" si="6"/>
        <v>100000</v>
      </c>
      <c r="K18" s="2">
        <v>120</v>
      </c>
      <c r="L18" s="23">
        <v>46081</v>
      </c>
      <c r="M18" s="24"/>
      <c r="N18" s="21">
        <f t="shared" si="7"/>
        <v>4950000</v>
      </c>
      <c r="O18" s="21">
        <f t="shared" si="8"/>
        <v>0</v>
      </c>
      <c r="P18" s="21">
        <f t="shared" si="9"/>
        <v>4950000</v>
      </c>
      <c r="Q18" s="1"/>
      <c r="R18" s="1"/>
      <c r="S18" s="1"/>
      <c r="T18" s="1"/>
      <c r="U18" s="1"/>
      <c r="V18" s="1"/>
      <c r="W18" s="1"/>
    </row>
    <row r="19" spans="2:23" x14ac:dyDescent="0.35">
      <c r="B19" s="72"/>
      <c r="C19" s="26"/>
      <c r="D19" s="2"/>
      <c r="E19" s="1"/>
      <c r="F19" s="2">
        <v>0</v>
      </c>
      <c r="G19" s="20">
        <v>0</v>
      </c>
      <c r="H19" s="20">
        <v>0</v>
      </c>
      <c r="I19" s="20">
        <f t="shared" si="5"/>
        <v>0</v>
      </c>
      <c r="J19" s="20">
        <f t="shared" si="6"/>
        <v>0</v>
      </c>
      <c r="K19" s="2">
        <v>0</v>
      </c>
      <c r="L19" s="23"/>
      <c r="M19" s="24"/>
      <c r="N19" s="21">
        <f t="shared" si="7"/>
        <v>0</v>
      </c>
      <c r="O19" s="21">
        <f t="shared" si="8"/>
        <v>0</v>
      </c>
      <c r="P19" s="21">
        <f t="shared" si="9"/>
        <v>0</v>
      </c>
      <c r="Q19" s="1"/>
      <c r="R19" s="1"/>
      <c r="S19" s="1"/>
      <c r="T19" s="1"/>
      <c r="U19" s="1"/>
      <c r="V19" s="1"/>
      <c r="W19" s="1"/>
    </row>
    <row r="20" spans="2:23" x14ac:dyDescent="0.35">
      <c r="B20" s="72"/>
      <c r="C20" s="26" t="s">
        <v>70</v>
      </c>
      <c r="D20" s="1" t="s">
        <v>64</v>
      </c>
      <c r="E20" s="1" t="s">
        <v>69</v>
      </c>
      <c r="F20" s="2">
        <v>10</v>
      </c>
      <c r="G20" s="20">
        <v>475000</v>
      </c>
      <c r="H20" s="20">
        <v>485000</v>
      </c>
      <c r="I20" s="20">
        <f t="shared" si="5"/>
        <v>10000</v>
      </c>
      <c r="J20" s="20">
        <f t="shared" si="6"/>
        <v>100000</v>
      </c>
      <c r="K20" s="2">
        <v>120</v>
      </c>
      <c r="L20" s="23">
        <v>46116</v>
      </c>
      <c r="M20" s="24"/>
      <c r="N20" s="21">
        <f t="shared" si="7"/>
        <v>4850000</v>
      </c>
      <c r="O20" s="21">
        <f t="shared" si="8"/>
        <v>0</v>
      </c>
      <c r="P20" s="21">
        <f t="shared" si="9"/>
        <v>4850000</v>
      </c>
      <c r="Q20" s="1"/>
      <c r="R20" s="1"/>
      <c r="S20" s="1"/>
      <c r="T20" s="1"/>
      <c r="U20" s="1"/>
      <c r="V20" s="1"/>
      <c r="W20" s="1"/>
    </row>
    <row r="21" spans="2:23" x14ac:dyDescent="0.35">
      <c r="B21" s="72"/>
      <c r="C21" s="26" t="s">
        <v>10</v>
      </c>
      <c r="D21" s="1" t="s">
        <v>68</v>
      </c>
      <c r="E21" s="1" t="s">
        <v>110</v>
      </c>
      <c r="F21" s="2">
        <v>78</v>
      </c>
      <c r="G21" s="20">
        <v>517000</v>
      </c>
      <c r="H21" s="20">
        <v>527000</v>
      </c>
      <c r="I21" s="20">
        <f t="shared" si="5"/>
        <v>10000</v>
      </c>
      <c r="J21" s="20">
        <f t="shared" si="6"/>
        <v>780000</v>
      </c>
      <c r="K21" s="2">
        <v>0</v>
      </c>
      <c r="L21" s="23"/>
      <c r="M21" s="24"/>
      <c r="N21" s="21">
        <f t="shared" si="7"/>
        <v>41106000</v>
      </c>
      <c r="O21" s="21">
        <f t="shared" si="8"/>
        <v>0</v>
      </c>
      <c r="P21" s="21">
        <f t="shared" si="9"/>
        <v>41106000</v>
      </c>
      <c r="Q21" s="1"/>
      <c r="R21" s="1"/>
      <c r="S21" s="1"/>
      <c r="T21" s="1"/>
      <c r="U21" s="1"/>
      <c r="V21" s="1"/>
      <c r="W21" s="1"/>
    </row>
    <row r="22" spans="2:23" x14ac:dyDescent="0.35">
      <c r="B22" s="72"/>
      <c r="C22" s="32"/>
      <c r="D22" s="33"/>
      <c r="E22" s="34" t="s">
        <v>111</v>
      </c>
      <c r="F22" s="33">
        <v>20</v>
      </c>
      <c r="G22" s="35">
        <v>572000</v>
      </c>
      <c r="H22" s="35">
        <v>582000</v>
      </c>
      <c r="I22" s="35">
        <f t="shared" si="5"/>
        <v>10000</v>
      </c>
      <c r="J22" s="35">
        <f t="shared" si="6"/>
        <v>200000</v>
      </c>
      <c r="K22" s="33"/>
      <c r="L22" s="36"/>
      <c r="M22" s="37"/>
      <c r="N22" s="38">
        <f t="shared" si="7"/>
        <v>11640000</v>
      </c>
      <c r="O22" s="38">
        <f t="shared" si="8"/>
        <v>0</v>
      </c>
      <c r="P22" s="38">
        <f t="shared" si="9"/>
        <v>11640000</v>
      </c>
      <c r="Q22" s="1"/>
      <c r="R22" s="1"/>
      <c r="S22" s="1"/>
      <c r="T22" s="1"/>
      <c r="U22" s="1"/>
      <c r="V22" s="1"/>
      <c r="W22" s="1"/>
    </row>
    <row r="23" spans="2:23" x14ac:dyDescent="0.35">
      <c r="B23" s="72"/>
      <c r="C23" s="34"/>
      <c r="D23" s="34"/>
      <c r="E23" s="34" t="s">
        <v>112</v>
      </c>
      <c r="F23" s="33">
        <v>120</v>
      </c>
      <c r="G23" s="35">
        <v>592000</v>
      </c>
      <c r="H23" s="35">
        <v>602000</v>
      </c>
      <c r="I23" s="35">
        <f t="shared" si="5"/>
        <v>10000</v>
      </c>
      <c r="J23" s="35">
        <f t="shared" si="6"/>
        <v>1200000</v>
      </c>
      <c r="K23" s="33">
        <v>0</v>
      </c>
      <c r="L23" s="36"/>
      <c r="M23" s="37"/>
      <c r="N23" s="38">
        <f t="shared" si="7"/>
        <v>72240000</v>
      </c>
      <c r="O23" s="38">
        <f t="shared" si="8"/>
        <v>0</v>
      </c>
      <c r="P23" s="38">
        <f t="shared" si="9"/>
        <v>72240000</v>
      </c>
      <c r="Q23" s="1"/>
      <c r="R23" s="1"/>
      <c r="S23" s="1"/>
      <c r="T23" s="1"/>
      <c r="U23" s="1"/>
      <c r="V23" s="1"/>
      <c r="W23" s="1"/>
    </row>
    <row r="24" spans="2:23" x14ac:dyDescent="0.35">
      <c r="B24" s="72"/>
      <c r="C24" s="32" t="s">
        <v>55</v>
      </c>
      <c r="D24" s="34" t="s">
        <v>54</v>
      </c>
      <c r="E24" s="34" t="s">
        <v>112</v>
      </c>
      <c r="F24" s="33">
        <v>30</v>
      </c>
      <c r="G24" s="35">
        <v>590000</v>
      </c>
      <c r="H24" s="35">
        <v>600000</v>
      </c>
      <c r="I24" s="35">
        <f t="shared" ref="I24:I30" si="10">H24-G24</f>
        <v>10000</v>
      </c>
      <c r="J24" s="35">
        <f t="shared" ref="J24:J30" si="11">I24*F24</f>
        <v>300000</v>
      </c>
      <c r="K24" s="33">
        <v>90</v>
      </c>
      <c r="L24" s="36"/>
      <c r="M24" s="37"/>
      <c r="N24" s="38">
        <f t="shared" ref="N24:N30" si="12">H24*F24</f>
        <v>18000000</v>
      </c>
      <c r="O24" s="38">
        <f t="shared" ref="O24:O30" si="13">N24*M24</f>
        <v>0</v>
      </c>
      <c r="P24" s="38">
        <f t="shared" ref="P24:P30" si="14">N24+O24</f>
        <v>18000000</v>
      </c>
      <c r="Q24" s="1"/>
      <c r="R24" s="1"/>
      <c r="S24" s="1"/>
      <c r="T24" s="1"/>
      <c r="U24" s="1"/>
      <c r="V24" s="1"/>
      <c r="W24" s="1"/>
    </row>
    <row r="25" spans="2:23" x14ac:dyDescent="0.35">
      <c r="B25" s="72"/>
      <c r="C25" s="32" t="s">
        <v>57</v>
      </c>
      <c r="D25" s="34" t="s">
        <v>113</v>
      </c>
      <c r="E25" s="34" t="s">
        <v>114</v>
      </c>
      <c r="F25" s="33">
        <v>30</v>
      </c>
      <c r="G25" s="35">
        <v>640000</v>
      </c>
      <c r="H25" s="35">
        <v>650000</v>
      </c>
      <c r="I25" s="35">
        <f t="shared" si="10"/>
        <v>10000</v>
      </c>
      <c r="J25" s="35">
        <f t="shared" si="11"/>
        <v>300000</v>
      </c>
      <c r="K25" s="33">
        <v>0</v>
      </c>
      <c r="L25" s="36"/>
      <c r="M25" s="37"/>
      <c r="N25" s="38">
        <f t="shared" si="12"/>
        <v>19500000</v>
      </c>
      <c r="O25" s="38">
        <f t="shared" si="13"/>
        <v>0</v>
      </c>
      <c r="P25" s="38">
        <f t="shared" si="14"/>
        <v>19500000</v>
      </c>
      <c r="Q25" s="1"/>
      <c r="R25" s="1"/>
      <c r="S25" s="1"/>
      <c r="T25" s="1"/>
      <c r="U25" s="1"/>
      <c r="V25" s="1"/>
      <c r="W25" s="1"/>
    </row>
    <row r="26" spans="2:23" x14ac:dyDescent="0.35">
      <c r="B26" s="72"/>
      <c r="C26" s="32" t="s">
        <v>115</v>
      </c>
      <c r="D26" s="34" t="s">
        <v>58</v>
      </c>
      <c r="E26" s="34" t="s">
        <v>114</v>
      </c>
      <c r="F26" s="33">
        <v>30</v>
      </c>
      <c r="G26" s="35">
        <v>640000</v>
      </c>
      <c r="H26" s="35">
        <v>650000</v>
      </c>
      <c r="I26" s="35">
        <f t="shared" si="10"/>
        <v>10000</v>
      </c>
      <c r="J26" s="35">
        <f t="shared" si="11"/>
        <v>300000</v>
      </c>
      <c r="K26" s="33">
        <v>0</v>
      </c>
      <c r="L26" s="36"/>
      <c r="M26" s="37"/>
      <c r="N26" s="38">
        <f t="shared" si="12"/>
        <v>19500000</v>
      </c>
      <c r="O26" s="38">
        <f t="shared" si="13"/>
        <v>0</v>
      </c>
      <c r="P26" s="38">
        <f t="shared" si="14"/>
        <v>19500000</v>
      </c>
      <c r="Q26" s="1"/>
      <c r="R26" s="1"/>
      <c r="S26" s="1"/>
      <c r="T26" s="1"/>
      <c r="U26" s="1"/>
      <c r="V26" s="1"/>
      <c r="W26" s="1"/>
    </row>
    <row r="27" spans="2:23" x14ac:dyDescent="0.35">
      <c r="B27" s="72"/>
      <c r="C27" s="32" t="s">
        <v>116</v>
      </c>
      <c r="D27" s="34" t="s">
        <v>60</v>
      </c>
      <c r="E27" s="34" t="s">
        <v>110</v>
      </c>
      <c r="F27" s="33">
        <v>30</v>
      </c>
      <c r="G27" s="35">
        <v>620100</v>
      </c>
      <c r="H27" s="35">
        <v>630100</v>
      </c>
      <c r="I27" s="35">
        <f t="shared" si="10"/>
        <v>10000</v>
      </c>
      <c r="J27" s="35">
        <f t="shared" si="11"/>
        <v>300000</v>
      </c>
      <c r="K27" s="33">
        <v>0</v>
      </c>
      <c r="L27" s="36"/>
      <c r="M27" s="37"/>
      <c r="N27" s="38">
        <f t="shared" si="12"/>
        <v>18903000</v>
      </c>
      <c r="O27" s="38">
        <f t="shared" si="13"/>
        <v>0</v>
      </c>
      <c r="P27" s="38">
        <f t="shared" si="14"/>
        <v>18903000</v>
      </c>
      <c r="Q27" s="1"/>
      <c r="R27" s="1"/>
      <c r="S27" s="1"/>
      <c r="T27" s="1"/>
      <c r="U27" s="1"/>
      <c r="V27" s="1"/>
      <c r="W27" s="1"/>
    </row>
    <row r="28" spans="2:23" x14ac:dyDescent="0.35">
      <c r="B28" s="72"/>
      <c r="C28" s="32" t="s">
        <v>117</v>
      </c>
      <c r="D28" s="34" t="s">
        <v>62</v>
      </c>
      <c r="E28" s="34" t="s">
        <v>114</v>
      </c>
      <c r="F28" s="33">
        <v>30</v>
      </c>
      <c r="G28" s="35">
        <v>654000</v>
      </c>
      <c r="H28" s="35">
        <v>664000</v>
      </c>
      <c r="I28" s="35">
        <f t="shared" si="10"/>
        <v>10000</v>
      </c>
      <c r="J28" s="35">
        <f t="shared" si="11"/>
        <v>300000</v>
      </c>
      <c r="K28" s="33">
        <v>0</v>
      </c>
      <c r="L28" s="36"/>
      <c r="M28" s="37"/>
      <c r="N28" s="38">
        <f t="shared" si="12"/>
        <v>19920000</v>
      </c>
      <c r="O28" s="38">
        <f t="shared" si="13"/>
        <v>0</v>
      </c>
      <c r="P28" s="38">
        <f t="shared" si="14"/>
        <v>19920000</v>
      </c>
      <c r="Q28" s="1"/>
      <c r="R28" s="1"/>
      <c r="S28" s="1"/>
      <c r="T28" s="1"/>
      <c r="U28" s="1"/>
      <c r="V28" s="1"/>
      <c r="W28" s="1"/>
    </row>
    <row r="29" spans="2:23" x14ac:dyDescent="0.35">
      <c r="B29" s="72">
        <v>67182</v>
      </c>
      <c r="C29" s="32" t="s">
        <v>65</v>
      </c>
      <c r="D29" s="34" t="s">
        <v>64</v>
      </c>
      <c r="E29" s="34" t="s">
        <v>118</v>
      </c>
      <c r="F29" s="33">
        <v>17</v>
      </c>
      <c r="G29" s="35">
        <v>683160</v>
      </c>
      <c r="H29" s="35">
        <v>693160</v>
      </c>
      <c r="I29" s="35">
        <f t="shared" si="10"/>
        <v>10000</v>
      </c>
      <c r="J29" s="35">
        <f t="shared" si="11"/>
        <v>170000</v>
      </c>
      <c r="K29" s="33">
        <v>0</v>
      </c>
      <c r="L29" s="36"/>
      <c r="M29" s="37"/>
      <c r="N29" s="38">
        <f t="shared" si="12"/>
        <v>11783720</v>
      </c>
      <c r="O29" s="38">
        <f t="shared" si="13"/>
        <v>0</v>
      </c>
      <c r="P29" s="38">
        <f t="shared" si="14"/>
        <v>11783720</v>
      </c>
      <c r="Q29" s="1"/>
      <c r="R29" s="1"/>
      <c r="S29" s="1"/>
      <c r="T29" s="1"/>
      <c r="U29" s="1"/>
      <c r="V29" s="1"/>
      <c r="W29" s="1"/>
    </row>
    <row r="30" spans="2:23" x14ac:dyDescent="0.35">
      <c r="B30" s="72"/>
      <c r="C30" s="32" t="s">
        <v>119</v>
      </c>
      <c r="D30" s="34" t="s">
        <v>80</v>
      </c>
      <c r="E30" s="34" t="s">
        <v>110</v>
      </c>
      <c r="F30" s="33">
        <v>11</v>
      </c>
      <c r="G30" s="35">
        <v>570000</v>
      </c>
      <c r="H30" s="35">
        <v>580000</v>
      </c>
      <c r="I30" s="35">
        <f t="shared" si="10"/>
        <v>10000</v>
      </c>
      <c r="J30" s="35">
        <f t="shared" si="11"/>
        <v>110000</v>
      </c>
      <c r="K30" s="33">
        <v>0</v>
      </c>
      <c r="L30" s="36"/>
      <c r="M30" s="37"/>
      <c r="N30" s="38">
        <f t="shared" si="12"/>
        <v>6380000</v>
      </c>
      <c r="O30" s="38">
        <f t="shared" si="13"/>
        <v>0</v>
      </c>
      <c r="P30" s="38">
        <f t="shared" si="14"/>
        <v>6380000</v>
      </c>
      <c r="Q30" s="1"/>
      <c r="R30" s="1"/>
      <c r="S30" s="1"/>
      <c r="T30" s="1"/>
      <c r="U30" s="1"/>
      <c r="V30" s="1"/>
      <c r="W30" s="1"/>
    </row>
    <row r="31" spans="2:23" x14ac:dyDescent="0.35">
      <c r="B31" s="72"/>
      <c r="C31" s="34"/>
      <c r="D31" s="34"/>
      <c r="E31" s="34" t="s">
        <v>120</v>
      </c>
      <c r="F31" s="33">
        <v>13</v>
      </c>
      <c r="G31" s="35">
        <v>688250</v>
      </c>
      <c r="H31" s="35">
        <v>698250</v>
      </c>
      <c r="I31" s="35">
        <f t="shared" si="5"/>
        <v>10000</v>
      </c>
      <c r="J31" s="35">
        <f t="shared" si="6"/>
        <v>130000</v>
      </c>
      <c r="K31" s="33">
        <v>0</v>
      </c>
      <c r="L31" s="36"/>
      <c r="M31" s="37"/>
      <c r="N31" s="38">
        <f t="shared" si="7"/>
        <v>9077250</v>
      </c>
      <c r="O31" s="38">
        <f t="shared" si="8"/>
        <v>0</v>
      </c>
      <c r="P31" s="38">
        <f t="shared" si="9"/>
        <v>9077250</v>
      </c>
      <c r="Q31" s="1"/>
      <c r="R31" s="1"/>
      <c r="S31" s="1"/>
      <c r="T31" s="1"/>
      <c r="U31" s="1"/>
      <c r="V31" s="1"/>
      <c r="W31" s="1"/>
    </row>
    <row r="32" spans="2:23" x14ac:dyDescent="0.35">
      <c r="B32" s="72"/>
      <c r="C32" s="32" t="s">
        <v>121</v>
      </c>
      <c r="D32" s="33" t="s">
        <v>122</v>
      </c>
      <c r="E32" s="34" t="s">
        <v>123</v>
      </c>
      <c r="F32" s="33">
        <v>16</v>
      </c>
      <c r="G32" s="35">
        <v>564000</v>
      </c>
      <c r="H32" s="35">
        <v>574000</v>
      </c>
      <c r="I32" s="35">
        <f t="shared" si="5"/>
        <v>10000</v>
      </c>
      <c r="J32" s="35">
        <f t="shared" si="6"/>
        <v>160000</v>
      </c>
      <c r="K32" s="33">
        <v>0</v>
      </c>
      <c r="L32" s="36"/>
      <c r="M32" s="37"/>
      <c r="N32" s="38">
        <f t="shared" si="7"/>
        <v>9184000</v>
      </c>
      <c r="O32" s="38">
        <f t="shared" si="8"/>
        <v>0</v>
      </c>
      <c r="P32" s="38">
        <f t="shared" si="9"/>
        <v>9184000</v>
      </c>
      <c r="Q32" s="1"/>
      <c r="R32" s="1"/>
      <c r="S32" s="1"/>
      <c r="T32" s="1"/>
      <c r="U32" s="1"/>
      <c r="V32" s="1"/>
      <c r="W32" s="1"/>
    </row>
    <row r="33" spans="2:23" x14ac:dyDescent="0.35">
      <c r="B33" s="72"/>
      <c r="C33" s="32" t="s">
        <v>116</v>
      </c>
      <c r="D33" s="34" t="s">
        <v>60</v>
      </c>
      <c r="E33" s="34" t="s">
        <v>124</v>
      </c>
      <c r="F33" s="33">
        <v>15</v>
      </c>
      <c r="G33" s="35">
        <v>563600</v>
      </c>
      <c r="H33" s="35">
        <v>574000</v>
      </c>
      <c r="I33" s="35">
        <f t="shared" si="5"/>
        <v>10400</v>
      </c>
      <c r="J33" s="35">
        <f t="shared" si="6"/>
        <v>156000</v>
      </c>
      <c r="K33" s="33">
        <v>0</v>
      </c>
      <c r="L33" s="36"/>
      <c r="M33" s="37"/>
      <c r="N33" s="38">
        <f t="shared" si="7"/>
        <v>8610000</v>
      </c>
      <c r="O33" s="38">
        <f t="shared" si="8"/>
        <v>0</v>
      </c>
      <c r="P33" s="38">
        <f t="shared" si="9"/>
        <v>8610000</v>
      </c>
      <c r="Q33" s="1"/>
      <c r="R33" s="1"/>
      <c r="S33" s="1"/>
      <c r="T33" s="1"/>
      <c r="U33" s="1"/>
      <c r="V33" s="1"/>
      <c r="W33" s="1"/>
    </row>
    <row r="34" spans="2:23" x14ac:dyDescent="0.35">
      <c r="B34" s="72"/>
      <c r="C34" s="34"/>
      <c r="D34" s="34"/>
      <c r="E34" s="34" t="s">
        <v>49</v>
      </c>
      <c r="F34" s="33">
        <v>10</v>
      </c>
      <c r="G34" s="35">
        <v>535000</v>
      </c>
      <c r="H34" s="35">
        <v>545000</v>
      </c>
      <c r="I34" s="35">
        <f t="shared" si="5"/>
        <v>10000</v>
      </c>
      <c r="J34" s="35">
        <f t="shared" si="6"/>
        <v>100000</v>
      </c>
      <c r="K34" s="33">
        <v>0</v>
      </c>
      <c r="L34" s="36"/>
      <c r="M34" s="37"/>
      <c r="N34" s="38">
        <f t="shared" si="7"/>
        <v>5450000</v>
      </c>
      <c r="O34" s="38">
        <f t="shared" si="8"/>
        <v>0</v>
      </c>
      <c r="P34" s="38">
        <f t="shared" si="9"/>
        <v>5450000</v>
      </c>
      <c r="Q34" s="1"/>
      <c r="R34" s="1"/>
      <c r="S34" s="1"/>
      <c r="T34" s="1"/>
      <c r="U34" s="1"/>
      <c r="V34" s="1"/>
      <c r="W34" s="1"/>
    </row>
    <row r="35" spans="2:23" x14ac:dyDescent="0.35">
      <c r="B35" s="72"/>
      <c r="C35" s="32"/>
      <c r="D35" s="33"/>
      <c r="E35" s="34"/>
      <c r="F35" s="33">
        <v>0</v>
      </c>
      <c r="G35" s="35">
        <v>0</v>
      </c>
      <c r="H35" s="35">
        <v>0</v>
      </c>
      <c r="I35" s="35">
        <f t="shared" si="5"/>
        <v>0</v>
      </c>
      <c r="J35" s="35">
        <f t="shared" si="6"/>
        <v>0</v>
      </c>
      <c r="K35" s="33">
        <v>0</v>
      </c>
      <c r="L35" s="36"/>
      <c r="M35" s="37"/>
      <c r="N35" s="38">
        <f t="shared" si="7"/>
        <v>0</v>
      </c>
      <c r="O35" s="38">
        <f t="shared" si="8"/>
        <v>0</v>
      </c>
      <c r="P35" s="38">
        <f t="shared" si="9"/>
        <v>0</v>
      </c>
      <c r="Q35" s="1"/>
      <c r="R35" s="1"/>
      <c r="S35" s="1"/>
      <c r="T35" s="1"/>
      <c r="U35" s="1"/>
      <c r="V35" s="1"/>
      <c r="W35" s="1"/>
    </row>
    <row r="36" spans="2:23" x14ac:dyDescent="0.35">
      <c r="B36" s="72"/>
      <c r="C36" s="34"/>
      <c r="D36" s="34"/>
      <c r="E36" s="34"/>
      <c r="F36" s="33">
        <v>0</v>
      </c>
      <c r="G36" s="35">
        <v>0</v>
      </c>
      <c r="H36" s="35">
        <v>0</v>
      </c>
      <c r="I36" s="35">
        <f t="shared" si="5"/>
        <v>0</v>
      </c>
      <c r="J36" s="35">
        <f t="shared" si="6"/>
        <v>0</v>
      </c>
      <c r="K36" s="33">
        <v>0</v>
      </c>
      <c r="L36" s="36"/>
      <c r="M36" s="37"/>
      <c r="N36" s="38">
        <f t="shared" si="7"/>
        <v>0</v>
      </c>
      <c r="O36" s="38">
        <f t="shared" si="8"/>
        <v>0</v>
      </c>
      <c r="P36" s="38">
        <f t="shared" si="9"/>
        <v>0</v>
      </c>
      <c r="Q36" s="1"/>
      <c r="R36" s="1"/>
      <c r="S36" s="1"/>
      <c r="T36" s="1"/>
      <c r="U36" s="1"/>
      <c r="V36" s="1"/>
      <c r="W36" s="1"/>
    </row>
    <row r="37" spans="2:23" x14ac:dyDescent="0.35">
      <c r="B37" s="72"/>
      <c r="C37" s="34"/>
      <c r="D37" s="34"/>
      <c r="E37" s="34"/>
      <c r="F37" s="33">
        <v>0</v>
      </c>
      <c r="G37" s="35">
        <v>0</v>
      </c>
      <c r="H37" s="35">
        <v>0</v>
      </c>
      <c r="I37" s="35">
        <f t="shared" si="5"/>
        <v>0</v>
      </c>
      <c r="J37" s="35">
        <f t="shared" si="6"/>
        <v>0</v>
      </c>
      <c r="K37" s="33">
        <v>0</v>
      </c>
      <c r="L37" s="36"/>
      <c r="M37" s="37"/>
      <c r="N37" s="38">
        <f t="shared" si="7"/>
        <v>0</v>
      </c>
      <c r="O37" s="38">
        <f t="shared" si="8"/>
        <v>0</v>
      </c>
      <c r="P37" s="38">
        <f t="shared" si="9"/>
        <v>0</v>
      </c>
      <c r="Q37" s="1"/>
      <c r="R37" s="1"/>
      <c r="S37" s="1"/>
      <c r="T37" s="1"/>
      <c r="U37" s="1"/>
      <c r="V37" s="1"/>
      <c r="W37" s="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3865-0ACA-4D24-BBD4-30761EB71EDE}">
  <dimension ref="C3:R42"/>
  <sheetViews>
    <sheetView zoomScale="80" zoomScaleNormal="80" workbookViewId="0">
      <selection activeCell="G4" sqref="G4:M4"/>
    </sheetView>
  </sheetViews>
  <sheetFormatPr baseColWidth="10" defaultRowHeight="14.5" x14ac:dyDescent="0.35"/>
  <cols>
    <col min="6" max="6" width="30.54296875" bestFit="1" customWidth="1"/>
    <col min="9" max="9" width="16.453125" bestFit="1" customWidth="1"/>
    <col min="10" max="11" width="16.453125" customWidth="1"/>
    <col min="12" max="12" width="12.26953125" bestFit="1" customWidth="1"/>
    <col min="13" max="13" width="12.26953125" customWidth="1"/>
    <col min="15" max="15" width="29.1796875" bestFit="1" customWidth="1"/>
  </cols>
  <sheetData>
    <row r="3" spans="3:16" ht="15" thickBot="1" x14ac:dyDescent="0.4"/>
    <row r="4" spans="3:16" ht="12.5" customHeight="1" thickBot="1" x14ac:dyDescent="0.4">
      <c r="C4" s="6" t="s">
        <v>11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40" t="s">
        <v>9</v>
      </c>
      <c r="J4" s="6" t="s">
        <v>96</v>
      </c>
      <c r="K4" s="6" t="s">
        <v>97</v>
      </c>
      <c r="L4" s="6" t="s">
        <v>98</v>
      </c>
      <c r="M4" s="6" t="s">
        <v>99</v>
      </c>
    </row>
    <row r="5" spans="3:16" ht="15" hidden="1" thickBot="1" x14ac:dyDescent="0.4">
      <c r="C5" s="10">
        <v>66230</v>
      </c>
      <c r="D5" s="18">
        <v>1</v>
      </c>
      <c r="E5" s="11" t="s">
        <v>54</v>
      </c>
      <c r="F5" s="11" t="s">
        <v>55</v>
      </c>
      <c r="G5" s="12">
        <v>45868</v>
      </c>
      <c r="H5" s="15">
        <v>46111</v>
      </c>
      <c r="I5" s="41">
        <v>2677500</v>
      </c>
      <c r="J5" s="44">
        <v>0</v>
      </c>
      <c r="K5" s="44">
        <v>0</v>
      </c>
      <c r="L5" s="43"/>
      <c r="M5" s="43"/>
    </row>
    <row r="6" spans="3:16" ht="15" hidden="1" thickBot="1" x14ac:dyDescent="0.4">
      <c r="C6" s="8"/>
      <c r="D6" s="7">
        <v>2</v>
      </c>
      <c r="E6" s="9"/>
      <c r="F6" s="9"/>
      <c r="G6" s="13"/>
      <c r="H6" s="16"/>
      <c r="I6" s="41">
        <v>2677500</v>
      </c>
      <c r="J6" s="44">
        <v>0</v>
      </c>
      <c r="K6" s="44">
        <v>0</v>
      </c>
      <c r="L6" s="43"/>
      <c r="M6" s="43"/>
    </row>
    <row r="7" spans="3:16" ht="15" hidden="1" thickBot="1" x14ac:dyDescent="0.4">
      <c r="C7" s="6"/>
      <c r="D7" s="18">
        <v>3</v>
      </c>
      <c r="E7" s="9"/>
      <c r="F7" s="9"/>
      <c r="G7" s="14"/>
      <c r="H7" s="17"/>
      <c r="I7" s="41">
        <v>5355000</v>
      </c>
      <c r="J7" s="44">
        <v>0</v>
      </c>
      <c r="K7" s="44">
        <v>0</v>
      </c>
      <c r="L7" s="43"/>
      <c r="M7" s="43"/>
    </row>
    <row r="8" spans="3:16" ht="15" hidden="1" thickBot="1" x14ac:dyDescent="0.4">
      <c r="C8" s="8"/>
      <c r="D8" s="7">
        <v>4</v>
      </c>
      <c r="E8" s="9"/>
      <c r="F8" s="9"/>
      <c r="G8" s="13"/>
      <c r="H8" s="16"/>
      <c r="I8" s="41">
        <v>5355000</v>
      </c>
      <c r="J8" s="44">
        <v>0</v>
      </c>
      <c r="K8" s="44">
        <v>0</v>
      </c>
      <c r="L8" s="43"/>
      <c r="M8" s="43"/>
    </row>
    <row r="9" spans="3:16" ht="15" hidden="1" thickBot="1" x14ac:dyDescent="0.4">
      <c r="C9" s="8"/>
      <c r="D9" s="18">
        <v>5</v>
      </c>
      <c r="E9" s="8"/>
      <c r="F9" s="9"/>
      <c r="G9" s="13"/>
      <c r="H9" s="16"/>
      <c r="I9" s="41">
        <v>2677500</v>
      </c>
      <c r="J9" s="44">
        <v>0</v>
      </c>
      <c r="K9" s="44">
        <v>0</v>
      </c>
      <c r="L9" s="43"/>
      <c r="M9" s="43"/>
    </row>
    <row r="10" spans="3:16" ht="15" hidden="1" thickBot="1" x14ac:dyDescent="0.4">
      <c r="C10" s="10"/>
      <c r="D10" s="7">
        <v>6</v>
      </c>
      <c r="E10" s="11"/>
      <c r="F10" s="11"/>
      <c r="G10" s="12"/>
      <c r="H10" s="15"/>
      <c r="I10" s="41">
        <v>2677500</v>
      </c>
      <c r="J10" s="44">
        <v>0</v>
      </c>
      <c r="K10" s="44">
        <v>0</v>
      </c>
      <c r="L10" s="43"/>
      <c r="M10" s="43"/>
      <c r="O10" s="3" t="s">
        <v>3</v>
      </c>
      <c r="P10" s="3" t="s">
        <v>12</v>
      </c>
    </row>
    <row r="11" spans="3:16" ht="15" hidden="1" thickBot="1" x14ac:dyDescent="0.4">
      <c r="C11" s="45">
        <v>66681</v>
      </c>
      <c r="D11" s="46">
        <v>1</v>
      </c>
      <c r="E11" s="47" t="s">
        <v>56</v>
      </c>
      <c r="F11" s="48" t="s">
        <v>57</v>
      </c>
      <c r="G11" s="49">
        <v>45887</v>
      </c>
      <c r="H11" s="50">
        <v>46142</v>
      </c>
      <c r="I11" s="51">
        <v>23205000</v>
      </c>
      <c r="J11" s="52">
        <v>0</v>
      </c>
      <c r="K11" s="52">
        <v>0</v>
      </c>
      <c r="L11" s="53"/>
      <c r="M11" s="53" t="s">
        <v>100</v>
      </c>
      <c r="O11" s="1" t="s">
        <v>13</v>
      </c>
      <c r="P11" s="19">
        <v>0</v>
      </c>
    </row>
    <row r="12" spans="3:16" ht="15" hidden="1" thickBot="1" x14ac:dyDescent="0.4">
      <c r="C12" s="54">
        <v>66682</v>
      </c>
      <c r="D12" s="46">
        <v>1</v>
      </c>
      <c r="E12" s="48" t="s">
        <v>58</v>
      </c>
      <c r="F12" s="48" t="s">
        <v>59</v>
      </c>
      <c r="G12" s="55">
        <v>45887</v>
      </c>
      <c r="H12" s="56">
        <v>46142</v>
      </c>
      <c r="I12" s="51">
        <v>23205000</v>
      </c>
      <c r="J12" s="52">
        <v>0</v>
      </c>
      <c r="K12" s="52">
        <v>0</v>
      </c>
      <c r="L12" s="53"/>
      <c r="M12" s="53" t="s">
        <v>100</v>
      </c>
      <c r="O12" s="1" t="s">
        <v>14</v>
      </c>
      <c r="P12" s="20">
        <v>0</v>
      </c>
    </row>
    <row r="13" spans="3:16" ht="15" hidden="1" thickBot="1" x14ac:dyDescent="0.4">
      <c r="C13" s="8">
        <v>66525</v>
      </c>
      <c r="D13" s="7">
        <v>1</v>
      </c>
      <c r="E13" s="9" t="s">
        <v>60</v>
      </c>
      <c r="F13" s="9" t="s">
        <v>61</v>
      </c>
      <c r="G13" s="13">
        <v>45880</v>
      </c>
      <c r="H13" s="16">
        <v>46142</v>
      </c>
      <c r="I13" s="41">
        <v>22494570</v>
      </c>
      <c r="J13" s="44">
        <v>0</v>
      </c>
      <c r="K13" s="44">
        <v>0</v>
      </c>
      <c r="L13" s="43"/>
      <c r="M13" s="43"/>
      <c r="O13" s="1" t="s">
        <v>15</v>
      </c>
      <c r="P13" s="20">
        <v>0</v>
      </c>
    </row>
    <row r="14" spans="3:16" ht="15" thickBot="1" x14ac:dyDescent="0.4">
      <c r="C14" s="62">
        <v>66877</v>
      </c>
      <c r="D14" s="63">
        <v>1</v>
      </c>
      <c r="E14" s="62" t="s">
        <v>62</v>
      </c>
      <c r="F14" s="63" t="s">
        <v>63</v>
      </c>
      <c r="G14" s="64">
        <v>45891</v>
      </c>
      <c r="H14" s="65">
        <v>46142</v>
      </c>
      <c r="I14" s="66">
        <v>23704800</v>
      </c>
      <c r="J14" s="66">
        <v>13000000</v>
      </c>
      <c r="K14" s="66">
        <f>I14-J14</f>
        <v>10704800</v>
      </c>
      <c r="L14" s="67">
        <v>46172</v>
      </c>
      <c r="M14" s="68"/>
      <c r="O14" s="1" t="s">
        <v>16</v>
      </c>
      <c r="P14" s="20">
        <v>24000</v>
      </c>
    </row>
    <row r="15" spans="3:16" ht="15" thickBot="1" x14ac:dyDescent="0.4">
      <c r="C15" s="57">
        <v>67182</v>
      </c>
      <c r="D15" s="58">
        <v>1</v>
      </c>
      <c r="E15" s="59" t="s">
        <v>64</v>
      </c>
      <c r="F15" s="59" t="s">
        <v>65</v>
      </c>
      <c r="G15" s="60">
        <v>45898</v>
      </c>
      <c r="H15" s="61">
        <v>46138</v>
      </c>
      <c r="I15" s="51">
        <v>1752829</v>
      </c>
      <c r="J15" s="52">
        <v>0</v>
      </c>
      <c r="K15" s="52">
        <v>0</v>
      </c>
      <c r="L15" s="53"/>
      <c r="M15" s="53" t="s">
        <v>100</v>
      </c>
      <c r="O15" s="1" t="s">
        <v>17</v>
      </c>
      <c r="P15" s="20">
        <v>36000</v>
      </c>
    </row>
    <row r="16" spans="3:16" ht="15" thickBot="1" x14ac:dyDescent="0.4">
      <c r="C16" s="45"/>
      <c r="D16" s="46">
        <v>2</v>
      </c>
      <c r="E16" s="59"/>
      <c r="F16" s="59"/>
      <c r="G16" s="60"/>
      <c r="H16" s="50"/>
      <c r="I16" s="51">
        <v>1752830</v>
      </c>
      <c r="J16" s="52">
        <v>0</v>
      </c>
      <c r="K16" s="52">
        <v>0</v>
      </c>
      <c r="L16" s="53"/>
      <c r="M16" s="53" t="s">
        <v>100</v>
      </c>
      <c r="O16" s="1" t="s">
        <v>18</v>
      </c>
      <c r="P16" s="20">
        <v>85000</v>
      </c>
    </row>
    <row r="17" spans="3:18" ht="15" thickBot="1" x14ac:dyDescent="0.4">
      <c r="C17" s="54"/>
      <c r="D17" s="58">
        <v>3</v>
      </c>
      <c r="E17" s="59"/>
      <c r="F17" s="59"/>
      <c r="G17" s="60"/>
      <c r="H17" s="56"/>
      <c r="I17" s="51">
        <v>1752830</v>
      </c>
      <c r="J17" s="52">
        <v>0</v>
      </c>
      <c r="K17" s="52">
        <v>0</v>
      </c>
      <c r="L17" s="53"/>
      <c r="M17" s="53" t="s">
        <v>100</v>
      </c>
      <c r="O17" s="1" t="s">
        <v>19</v>
      </c>
      <c r="P17" s="20">
        <v>108674</v>
      </c>
    </row>
    <row r="18" spans="3:18" ht="15" thickBot="1" x14ac:dyDescent="0.4">
      <c r="C18" s="45"/>
      <c r="D18" s="46">
        <v>4</v>
      </c>
      <c r="E18" s="59"/>
      <c r="F18" s="59"/>
      <c r="G18" s="60"/>
      <c r="H18" s="50"/>
      <c r="I18" s="51">
        <v>1752830</v>
      </c>
      <c r="J18" s="52">
        <v>0</v>
      </c>
      <c r="K18" s="52">
        <v>0</v>
      </c>
      <c r="L18" s="53"/>
      <c r="M18" s="53" t="s">
        <v>100</v>
      </c>
      <c r="O18" s="1"/>
      <c r="P18" s="1"/>
    </row>
    <row r="19" spans="3:18" ht="15" thickBot="1" x14ac:dyDescent="0.4">
      <c r="C19" s="45"/>
      <c r="D19" s="58">
        <v>5</v>
      </c>
      <c r="E19" s="59"/>
      <c r="F19" s="59"/>
      <c r="G19" s="60"/>
      <c r="H19" s="50"/>
      <c r="I19" s="51">
        <v>1752830</v>
      </c>
      <c r="J19" s="52">
        <v>0</v>
      </c>
      <c r="K19" s="52">
        <v>0</v>
      </c>
      <c r="L19" s="53"/>
      <c r="M19" s="53" t="s">
        <v>100</v>
      </c>
      <c r="O19" s="1"/>
      <c r="P19" s="22">
        <f>SUM(P11:P17)</f>
        <v>253674</v>
      </c>
    </row>
    <row r="20" spans="3:18" ht="15" thickBot="1" x14ac:dyDescent="0.4">
      <c r="C20" s="57"/>
      <c r="D20" s="46">
        <v>6</v>
      </c>
      <c r="E20" s="59"/>
      <c r="F20" s="59"/>
      <c r="G20" s="60"/>
      <c r="H20" s="61"/>
      <c r="I20" s="51">
        <v>1752830</v>
      </c>
      <c r="J20" s="52">
        <v>0</v>
      </c>
      <c r="K20" s="52">
        <v>0</v>
      </c>
      <c r="L20" s="53"/>
      <c r="M20" s="53" t="s">
        <v>100</v>
      </c>
    </row>
    <row r="21" spans="3:18" ht="15" thickBot="1" x14ac:dyDescent="0.4">
      <c r="C21" s="45"/>
      <c r="D21" s="46">
        <v>7</v>
      </c>
      <c r="E21" s="59"/>
      <c r="F21" s="59"/>
      <c r="G21" s="60"/>
      <c r="H21" s="50"/>
      <c r="I21" s="51">
        <v>1752830</v>
      </c>
      <c r="J21" s="52">
        <v>0</v>
      </c>
      <c r="K21" s="52">
        <v>0</v>
      </c>
      <c r="L21" s="53"/>
      <c r="M21" s="53" t="s">
        <v>100</v>
      </c>
    </row>
    <row r="22" spans="3:18" ht="15" thickBot="1" x14ac:dyDescent="0.4">
      <c r="C22" s="54"/>
      <c r="D22" s="46">
        <v>8</v>
      </c>
      <c r="E22" s="59"/>
      <c r="F22" s="59"/>
      <c r="G22" s="60"/>
      <c r="H22" s="56"/>
      <c r="I22" s="51">
        <v>1752830</v>
      </c>
      <c r="J22" s="52">
        <v>0</v>
      </c>
      <c r="K22" s="52">
        <v>0</v>
      </c>
      <c r="L22" s="53"/>
      <c r="M22" s="53" t="s">
        <v>100</v>
      </c>
    </row>
    <row r="23" spans="3:18" ht="15" thickBot="1" x14ac:dyDescent="0.4">
      <c r="C23" s="45">
        <v>67633</v>
      </c>
      <c r="D23" s="48">
        <v>1</v>
      </c>
      <c r="E23" s="48" t="s">
        <v>66</v>
      </c>
      <c r="F23" s="48" t="s">
        <v>67</v>
      </c>
      <c r="G23" s="49">
        <v>45905</v>
      </c>
      <c r="H23" s="50">
        <v>45716</v>
      </c>
      <c r="I23" s="51">
        <v>8496600</v>
      </c>
      <c r="J23" s="52">
        <v>0</v>
      </c>
      <c r="K23" s="52">
        <v>0</v>
      </c>
      <c r="L23" s="53"/>
      <c r="M23" s="53" t="s">
        <v>100</v>
      </c>
    </row>
    <row r="24" spans="3:18" ht="15" thickBot="1" x14ac:dyDescent="0.4">
      <c r="C24" s="45">
        <v>68317</v>
      </c>
      <c r="D24" s="48">
        <v>1</v>
      </c>
      <c r="E24" s="45" t="s">
        <v>71</v>
      </c>
      <c r="F24" s="48" t="s">
        <v>74</v>
      </c>
      <c r="G24" s="49">
        <v>45926</v>
      </c>
      <c r="H24" s="50">
        <v>46142</v>
      </c>
      <c r="I24" s="51">
        <v>13123510</v>
      </c>
      <c r="J24" s="52">
        <v>6500000</v>
      </c>
      <c r="K24" s="52">
        <f>I24-J24</f>
        <v>6623510</v>
      </c>
      <c r="L24" s="70">
        <v>45807</v>
      </c>
      <c r="M24" s="53" t="s">
        <v>100</v>
      </c>
      <c r="O24" s="3" t="s">
        <v>34</v>
      </c>
      <c r="P24" s="3" t="s">
        <v>35</v>
      </c>
      <c r="Q24" s="3" t="s">
        <v>36</v>
      </c>
      <c r="R24" s="3" t="s">
        <v>40</v>
      </c>
    </row>
    <row r="25" spans="3:18" ht="15" thickBot="1" x14ac:dyDescent="0.4">
      <c r="C25" s="28">
        <v>68650</v>
      </c>
      <c r="D25" s="29">
        <v>1</v>
      </c>
      <c r="E25" s="28" t="s">
        <v>72</v>
      </c>
      <c r="F25" s="29" t="s">
        <v>73</v>
      </c>
      <c r="G25" s="30">
        <v>45932</v>
      </c>
      <c r="H25" s="31">
        <v>46142</v>
      </c>
      <c r="I25" s="42">
        <v>7862925</v>
      </c>
      <c r="J25" s="44">
        <v>0</v>
      </c>
      <c r="K25" s="44">
        <v>0</v>
      </c>
      <c r="L25" s="43"/>
      <c r="M25" s="43"/>
      <c r="O25" s="1" t="s">
        <v>39</v>
      </c>
      <c r="P25" s="19">
        <v>565</v>
      </c>
      <c r="Q25" s="19">
        <v>568</v>
      </c>
      <c r="R25" s="20">
        <v>514</v>
      </c>
    </row>
    <row r="26" spans="3:18" ht="15" thickBot="1" x14ac:dyDescent="0.4">
      <c r="C26" s="62">
        <v>68462</v>
      </c>
      <c r="D26" s="63">
        <v>1</v>
      </c>
      <c r="E26" s="62" t="s">
        <v>75</v>
      </c>
      <c r="F26" s="63" t="s">
        <v>41</v>
      </c>
      <c r="G26" s="64">
        <v>45930</v>
      </c>
      <c r="H26" s="65">
        <v>46142</v>
      </c>
      <c r="I26" s="66">
        <v>1175720</v>
      </c>
      <c r="J26" s="66">
        <v>0</v>
      </c>
      <c r="K26" s="66">
        <f>I26</f>
        <v>1175720</v>
      </c>
      <c r="L26" s="67">
        <v>46172</v>
      </c>
      <c r="M26" s="68"/>
      <c r="O26" s="1" t="s">
        <v>37</v>
      </c>
      <c r="P26" s="20">
        <v>548</v>
      </c>
      <c r="Q26" s="20">
        <v>553</v>
      </c>
      <c r="R26" s="20">
        <v>499</v>
      </c>
    </row>
    <row r="27" spans="3:18" ht="15" thickBot="1" x14ac:dyDescent="0.4">
      <c r="C27" s="62">
        <v>68369</v>
      </c>
      <c r="D27" s="63">
        <v>2</v>
      </c>
      <c r="E27" s="62" t="s">
        <v>76</v>
      </c>
      <c r="F27" s="63" t="s">
        <v>41</v>
      </c>
      <c r="G27" s="64">
        <v>45930</v>
      </c>
      <c r="H27" s="65">
        <v>46142</v>
      </c>
      <c r="I27" s="66">
        <v>17527691</v>
      </c>
      <c r="J27" s="66">
        <v>0</v>
      </c>
      <c r="K27" s="66">
        <f>I27</f>
        <v>17527691</v>
      </c>
      <c r="L27" s="67">
        <v>46172</v>
      </c>
      <c r="M27" s="68"/>
      <c r="O27" s="1" t="s">
        <v>38</v>
      </c>
      <c r="P27" s="20">
        <v>475</v>
      </c>
      <c r="Q27" s="20">
        <v>493</v>
      </c>
      <c r="R27" s="1"/>
    </row>
    <row r="28" spans="3:18" ht="15" thickBot="1" x14ac:dyDescent="0.4">
      <c r="C28" s="62">
        <v>67080</v>
      </c>
      <c r="D28" s="63">
        <v>1</v>
      </c>
      <c r="E28" s="62" t="s">
        <v>77</v>
      </c>
      <c r="F28" s="63" t="s">
        <v>78</v>
      </c>
      <c r="G28" s="64">
        <v>45896</v>
      </c>
      <c r="H28" s="65">
        <v>46142</v>
      </c>
      <c r="I28" s="66">
        <v>18394128</v>
      </c>
      <c r="J28" s="66">
        <v>0</v>
      </c>
      <c r="K28" s="66">
        <f>I28</f>
        <v>18394128</v>
      </c>
      <c r="L28" s="67">
        <v>46172</v>
      </c>
      <c r="M28" s="68"/>
      <c r="O28" s="1"/>
      <c r="P28" s="20"/>
      <c r="Q28" s="20"/>
      <c r="R28" s="1"/>
    </row>
    <row r="29" spans="3:18" ht="15" thickBot="1" x14ac:dyDescent="0.4">
      <c r="C29" s="8">
        <v>65890</v>
      </c>
      <c r="D29" s="9">
        <v>1</v>
      </c>
      <c r="E29" s="8" t="s">
        <v>86</v>
      </c>
      <c r="F29" s="9" t="s">
        <v>87</v>
      </c>
      <c r="G29" s="13">
        <v>45853</v>
      </c>
      <c r="H29" s="16">
        <v>46172</v>
      </c>
      <c r="I29" s="41">
        <v>72099720</v>
      </c>
      <c r="J29" s="44">
        <v>0</v>
      </c>
      <c r="K29" s="44">
        <v>0</v>
      </c>
      <c r="L29" s="43"/>
      <c r="M29" s="43"/>
      <c r="O29" s="1"/>
      <c r="P29" s="20"/>
      <c r="Q29" s="20"/>
      <c r="R29" s="1"/>
    </row>
    <row r="30" spans="3:18" ht="15" thickBot="1" x14ac:dyDescent="0.4">
      <c r="C30" s="45">
        <v>65954</v>
      </c>
      <c r="D30" s="48">
        <v>1</v>
      </c>
      <c r="E30" s="45" t="s">
        <v>68</v>
      </c>
      <c r="F30" s="48" t="s">
        <v>95</v>
      </c>
      <c r="G30" s="49">
        <v>45855</v>
      </c>
      <c r="H30" s="50">
        <v>46005</v>
      </c>
      <c r="I30" s="51">
        <v>148733340</v>
      </c>
      <c r="J30" s="52">
        <v>0</v>
      </c>
      <c r="K30" s="52">
        <v>0</v>
      </c>
      <c r="L30" s="53"/>
      <c r="M30" s="53" t="s">
        <v>100</v>
      </c>
      <c r="O30" s="1"/>
      <c r="P30" s="20"/>
      <c r="Q30" s="20"/>
      <c r="R30" s="1"/>
    </row>
    <row r="31" spans="3:18" ht="15" thickBot="1" x14ac:dyDescent="0.4">
      <c r="C31" s="54"/>
      <c r="D31" s="46"/>
      <c r="E31" s="54"/>
      <c r="F31" s="46"/>
      <c r="G31" s="55"/>
      <c r="H31" s="56"/>
      <c r="I31" s="52"/>
      <c r="J31" s="52"/>
      <c r="K31" s="52"/>
      <c r="L31" s="70"/>
      <c r="M31" s="70"/>
      <c r="O31" s="1"/>
      <c r="P31" s="20"/>
      <c r="Q31" s="20"/>
      <c r="R31" s="1"/>
    </row>
    <row r="32" spans="3:18" ht="15" thickBot="1" x14ac:dyDescent="0.4">
      <c r="C32" s="8"/>
      <c r="D32" s="9"/>
      <c r="E32" s="8"/>
      <c r="F32" s="9"/>
      <c r="G32" s="13"/>
      <c r="H32" s="16"/>
      <c r="I32" s="41">
        <v>0</v>
      </c>
      <c r="J32" s="41">
        <v>0</v>
      </c>
      <c r="K32" s="41">
        <v>0</v>
      </c>
      <c r="L32" s="43"/>
      <c r="M32" s="43"/>
      <c r="O32" s="1"/>
      <c r="P32" s="20"/>
      <c r="Q32" s="20"/>
      <c r="R32" s="1"/>
    </row>
    <row r="33" spans="3:18" ht="15" thickBot="1" x14ac:dyDescent="0.4">
      <c r="C33" s="8"/>
      <c r="D33" s="9"/>
      <c r="E33" s="8"/>
      <c r="F33" s="9"/>
      <c r="G33" s="13"/>
      <c r="H33" s="16"/>
      <c r="I33" s="41">
        <v>0</v>
      </c>
      <c r="J33" s="41">
        <v>0</v>
      </c>
      <c r="K33" s="41">
        <v>0</v>
      </c>
      <c r="L33" s="43"/>
      <c r="M33" s="43"/>
      <c r="O33" s="1"/>
      <c r="P33" s="20"/>
      <c r="Q33" s="20"/>
      <c r="R33" s="1"/>
    </row>
    <row r="34" spans="3:18" ht="15" thickBot="1" x14ac:dyDescent="0.4">
      <c r="C34" s="8"/>
      <c r="D34" s="9"/>
      <c r="E34" s="8"/>
      <c r="F34" s="9"/>
      <c r="G34" s="13"/>
      <c r="H34" s="16"/>
      <c r="I34" s="41">
        <v>0</v>
      </c>
      <c r="J34" s="41">
        <v>0</v>
      </c>
      <c r="K34" s="41">
        <v>0</v>
      </c>
      <c r="L34" s="43"/>
      <c r="M34" s="43"/>
      <c r="O34" s="1"/>
      <c r="P34" s="20"/>
      <c r="Q34" s="20"/>
      <c r="R34" s="1"/>
    </row>
    <row r="35" spans="3:18" ht="15" thickBot="1" x14ac:dyDescent="0.4">
      <c r="C35" s="8"/>
      <c r="D35" s="9"/>
      <c r="E35" s="8"/>
      <c r="F35" s="9"/>
      <c r="G35" s="13"/>
      <c r="H35" s="16"/>
      <c r="I35" s="41">
        <v>0</v>
      </c>
      <c r="J35" s="41">
        <v>0</v>
      </c>
      <c r="K35" s="41">
        <v>0</v>
      </c>
      <c r="L35" s="43"/>
      <c r="M35" s="43"/>
      <c r="O35" s="1"/>
      <c r="P35" s="20"/>
      <c r="Q35" s="20"/>
      <c r="R35" s="1"/>
    </row>
    <row r="36" spans="3:18" ht="15" thickBot="1" x14ac:dyDescent="0.4">
      <c r="C36" s="8"/>
      <c r="D36" s="9"/>
      <c r="E36" s="8"/>
      <c r="F36" s="9"/>
      <c r="G36" s="13"/>
      <c r="H36" s="16"/>
      <c r="I36" s="41">
        <v>0</v>
      </c>
      <c r="J36" s="41">
        <v>0</v>
      </c>
      <c r="K36" s="41">
        <v>0</v>
      </c>
      <c r="L36" s="43"/>
      <c r="M36" s="43"/>
      <c r="O36" s="1"/>
      <c r="P36" s="20"/>
      <c r="Q36" s="20"/>
      <c r="R36" s="1"/>
    </row>
    <row r="37" spans="3:18" ht="15" thickBot="1" x14ac:dyDescent="0.4">
      <c r="C37" s="8"/>
      <c r="D37" s="9"/>
      <c r="E37" s="8"/>
      <c r="F37" s="9"/>
      <c r="G37" s="13"/>
      <c r="H37" s="16"/>
      <c r="I37" s="41">
        <v>0</v>
      </c>
      <c r="J37" s="41">
        <v>0</v>
      </c>
      <c r="K37" s="41">
        <v>0</v>
      </c>
      <c r="L37" s="43"/>
      <c r="M37" s="43"/>
      <c r="O37" s="1"/>
      <c r="P37" s="20"/>
      <c r="Q37" s="20"/>
      <c r="R37" s="1"/>
    </row>
    <row r="38" spans="3:18" ht="15" thickBot="1" x14ac:dyDescent="0.4">
      <c r="C38" s="8"/>
      <c r="D38" s="9"/>
      <c r="E38" s="8"/>
      <c r="F38" s="9"/>
      <c r="G38" s="13"/>
      <c r="H38" s="16"/>
      <c r="I38" s="41">
        <v>0</v>
      </c>
      <c r="J38" s="41">
        <v>0</v>
      </c>
      <c r="K38" s="41">
        <v>0</v>
      </c>
      <c r="L38" s="43"/>
      <c r="M38" s="43"/>
      <c r="O38" s="1"/>
      <c r="P38" s="20"/>
      <c r="Q38" s="20"/>
      <c r="R38" s="1"/>
    </row>
    <row r="39" spans="3:18" ht="15" thickBot="1" x14ac:dyDescent="0.4">
      <c r="C39" s="8"/>
      <c r="D39" s="9"/>
      <c r="E39" s="8"/>
      <c r="F39" s="9"/>
      <c r="G39" s="13"/>
      <c r="H39" s="16"/>
      <c r="I39" s="41">
        <v>0</v>
      </c>
      <c r="J39" s="41">
        <v>0</v>
      </c>
      <c r="K39" s="41">
        <v>0</v>
      </c>
      <c r="L39" s="43"/>
      <c r="M39" s="43"/>
      <c r="O39" s="1"/>
      <c r="P39" s="20"/>
      <c r="Q39" s="20"/>
      <c r="R39" s="1"/>
    </row>
    <row r="40" spans="3:18" ht="15" thickBot="1" x14ac:dyDescent="0.4">
      <c r="C40" s="8"/>
      <c r="D40" s="9"/>
      <c r="E40" s="8"/>
      <c r="F40" s="9"/>
      <c r="G40" s="13"/>
      <c r="H40" s="16"/>
      <c r="I40" s="41">
        <v>0</v>
      </c>
      <c r="J40" s="41">
        <v>0</v>
      </c>
      <c r="K40" s="41">
        <v>0</v>
      </c>
      <c r="L40" s="43"/>
      <c r="M40" s="43"/>
      <c r="O40" s="1"/>
      <c r="P40" s="20"/>
      <c r="Q40" s="20"/>
      <c r="R40" s="1"/>
    </row>
    <row r="41" spans="3:18" ht="15" thickBot="1" x14ac:dyDescent="0.4">
      <c r="C41" s="8"/>
      <c r="D41" s="9"/>
      <c r="E41" s="8"/>
      <c r="F41" s="9"/>
      <c r="G41" s="13"/>
      <c r="H41" s="16"/>
      <c r="I41" s="41">
        <v>0</v>
      </c>
      <c r="J41" s="41">
        <v>0</v>
      </c>
      <c r="K41" s="41">
        <v>0</v>
      </c>
      <c r="L41" s="43"/>
      <c r="M41" s="43"/>
      <c r="O41" s="1"/>
      <c r="P41" s="1"/>
      <c r="Q41" s="1"/>
      <c r="R41" s="1"/>
    </row>
    <row r="42" spans="3:18" ht="15" thickBot="1" x14ac:dyDescent="0.4">
      <c r="C42" s="8"/>
      <c r="D42" s="9"/>
      <c r="E42" s="8"/>
      <c r="F42" s="9"/>
      <c r="G42" s="13"/>
      <c r="H42" s="16"/>
      <c r="I42" s="41">
        <v>0</v>
      </c>
      <c r="J42" s="27"/>
      <c r="K42" s="41">
        <v>0</v>
      </c>
      <c r="L42" s="43"/>
      <c r="M42" s="43"/>
      <c r="O42" s="1"/>
      <c r="P42" s="22"/>
      <c r="Q42" s="22"/>
      <c r="R42" s="1"/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A2A10-3625-4123-A650-61D45E85485F}">
  <dimension ref="B2:P30"/>
  <sheetViews>
    <sheetView topLeftCell="E1" zoomScale="83" zoomScaleNormal="80" workbookViewId="0">
      <selection activeCell="B20" sqref="B20:O21"/>
    </sheetView>
  </sheetViews>
  <sheetFormatPr baseColWidth="10" defaultRowHeight="14.5" x14ac:dyDescent="0.35"/>
  <cols>
    <col min="1" max="1" width="1.54296875" customWidth="1"/>
    <col min="2" max="2" width="36" bestFit="1" customWidth="1"/>
    <col min="3" max="3" width="11.81640625" bestFit="1" customWidth="1"/>
    <col min="4" max="4" width="33.6328125" bestFit="1" customWidth="1"/>
    <col min="5" max="5" width="21.7265625" customWidth="1"/>
    <col min="6" max="7" width="12" bestFit="1" customWidth="1"/>
    <col min="9" max="9" width="17.26953125" bestFit="1" customWidth="1"/>
    <col min="10" max="10" width="17.81640625" bestFit="1" customWidth="1"/>
    <col min="11" max="12" width="16.453125" customWidth="1"/>
    <col min="13" max="13" width="23.54296875" bestFit="1" customWidth="1"/>
    <col min="14" max="14" width="18" bestFit="1" customWidth="1"/>
    <col min="15" max="15" width="18.54296875" bestFit="1" customWidth="1"/>
  </cols>
  <sheetData>
    <row r="2" spans="2:16" ht="28.5" x14ac:dyDescent="0.65">
      <c r="F2" s="5"/>
      <c r="G2" s="5"/>
      <c r="H2" s="5"/>
      <c r="I2" s="5"/>
      <c r="J2" s="5"/>
      <c r="K2" s="5"/>
      <c r="L2" s="5"/>
    </row>
    <row r="3" spans="2:16" x14ac:dyDescent="0.35">
      <c r="I3" s="4" t="s">
        <v>32</v>
      </c>
      <c r="J3" s="22">
        <f>SUM(I7:I30)</f>
        <v>4350000</v>
      </c>
    </row>
    <row r="6" spans="2:16" ht="13" customHeight="1" x14ac:dyDescent="0.35">
      <c r="B6" s="3" t="s">
        <v>1</v>
      </c>
      <c r="C6" s="3" t="s">
        <v>22</v>
      </c>
      <c r="D6" s="3" t="s">
        <v>0</v>
      </c>
      <c r="E6" s="3" t="s">
        <v>79</v>
      </c>
      <c r="F6" s="3" t="s">
        <v>20</v>
      </c>
      <c r="G6" s="3" t="s">
        <v>2</v>
      </c>
      <c r="H6" s="25" t="s">
        <v>28</v>
      </c>
      <c r="I6" s="25" t="s">
        <v>29</v>
      </c>
      <c r="J6" s="3" t="s">
        <v>25</v>
      </c>
      <c r="K6" s="3" t="s">
        <v>26</v>
      </c>
      <c r="L6" s="3" t="s">
        <v>31</v>
      </c>
      <c r="M6" s="3" t="s">
        <v>30</v>
      </c>
      <c r="N6" s="3" t="s">
        <v>33</v>
      </c>
      <c r="O6" s="3" t="s">
        <v>27</v>
      </c>
    </row>
    <row r="7" spans="2:16" x14ac:dyDescent="0.35">
      <c r="B7" s="32" t="s">
        <v>78</v>
      </c>
      <c r="C7" s="33" t="s">
        <v>80</v>
      </c>
      <c r="D7" s="34" t="s">
        <v>81</v>
      </c>
      <c r="E7" s="33">
        <v>11</v>
      </c>
      <c r="F7" s="35">
        <v>569000</v>
      </c>
      <c r="G7" s="35">
        <v>579000</v>
      </c>
      <c r="H7" s="35">
        <f t="shared" ref="H7:H22" si="0">G7-F7</f>
        <v>10000</v>
      </c>
      <c r="I7" s="35">
        <f t="shared" ref="I7:I22" si="1">H7*E7</f>
        <v>110000</v>
      </c>
      <c r="J7" s="33">
        <v>90</v>
      </c>
      <c r="K7" s="36">
        <v>46325</v>
      </c>
      <c r="L7" s="37">
        <v>0.05</v>
      </c>
      <c r="M7" s="38">
        <f t="shared" ref="M7:M22" si="2">G7*E7</f>
        <v>6369000</v>
      </c>
      <c r="N7" s="38">
        <f t="shared" ref="N7:N19" si="3">M7*L7</f>
        <v>318450</v>
      </c>
      <c r="O7" s="38">
        <f t="shared" ref="O7:O22" si="4">M7+N7</f>
        <v>6687450</v>
      </c>
    </row>
    <row r="8" spans="2:16" x14ac:dyDescent="0.35">
      <c r="B8" s="1"/>
      <c r="C8" s="1"/>
      <c r="D8" s="1"/>
      <c r="E8" s="2"/>
      <c r="F8" s="20"/>
      <c r="G8" s="20"/>
      <c r="H8" s="35">
        <f t="shared" si="0"/>
        <v>0</v>
      </c>
      <c r="I8" s="35">
        <f t="shared" si="1"/>
        <v>0</v>
      </c>
      <c r="J8" s="2"/>
      <c r="K8" s="23"/>
      <c r="L8" s="24"/>
      <c r="M8" s="38">
        <f t="shared" si="2"/>
        <v>0</v>
      </c>
      <c r="N8" s="38">
        <f t="shared" si="3"/>
        <v>0</v>
      </c>
      <c r="O8" s="38">
        <f t="shared" si="4"/>
        <v>0</v>
      </c>
    </row>
    <row r="9" spans="2:16" x14ac:dyDescent="0.35">
      <c r="B9" s="26" t="s">
        <v>82</v>
      </c>
      <c r="C9" s="1" t="s">
        <v>83</v>
      </c>
      <c r="D9" s="1" t="s">
        <v>84</v>
      </c>
      <c r="E9" s="2">
        <v>6</v>
      </c>
      <c r="F9" s="20">
        <v>600000</v>
      </c>
      <c r="G9" s="20">
        <v>610000</v>
      </c>
      <c r="H9" s="35">
        <f t="shared" si="0"/>
        <v>10000</v>
      </c>
      <c r="I9" s="35">
        <f t="shared" si="1"/>
        <v>60000</v>
      </c>
      <c r="J9" s="2">
        <v>90</v>
      </c>
      <c r="K9" s="23">
        <v>46184</v>
      </c>
      <c r="L9" s="24"/>
      <c r="M9" s="38">
        <f t="shared" si="2"/>
        <v>3660000</v>
      </c>
      <c r="N9" s="38">
        <f t="shared" si="3"/>
        <v>0</v>
      </c>
      <c r="O9" s="38">
        <f t="shared" si="4"/>
        <v>3660000</v>
      </c>
    </row>
    <row r="10" spans="2:16" x14ac:dyDescent="0.35">
      <c r="B10" s="26"/>
      <c r="C10" s="2"/>
      <c r="D10" s="1" t="s">
        <v>85</v>
      </c>
      <c r="E10" s="2">
        <v>6</v>
      </c>
      <c r="F10" s="20">
        <v>658500</v>
      </c>
      <c r="G10" s="20">
        <v>668500</v>
      </c>
      <c r="H10" s="35">
        <f t="shared" si="0"/>
        <v>10000</v>
      </c>
      <c r="I10" s="35">
        <f t="shared" si="1"/>
        <v>60000</v>
      </c>
      <c r="J10" s="2">
        <v>90</v>
      </c>
      <c r="K10" s="23">
        <v>46184</v>
      </c>
      <c r="L10" s="24"/>
      <c r="M10" s="38">
        <f t="shared" si="2"/>
        <v>4011000</v>
      </c>
      <c r="N10" s="38">
        <f t="shared" si="3"/>
        <v>0</v>
      </c>
      <c r="O10" s="38">
        <f t="shared" si="4"/>
        <v>4011000</v>
      </c>
    </row>
    <row r="11" spans="2:16" x14ac:dyDescent="0.35">
      <c r="B11" s="26" t="s">
        <v>88</v>
      </c>
      <c r="C11" s="1" t="s">
        <v>89</v>
      </c>
      <c r="D11" s="1" t="s">
        <v>90</v>
      </c>
      <c r="E11" s="2">
        <v>210</v>
      </c>
      <c r="F11" s="20">
        <v>775000</v>
      </c>
      <c r="G11" s="20">
        <v>785000</v>
      </c>
      <c r="H11" s="35">
        <f t="shared" si="0"/>
        <v>10000</v>
      </c>
      <c r="I11" s="35">
        <f t="shared" si="1"/>
        <v>2100000</v>
      </c>
      <c r="J11" s="2">
        <v>90</v>
      </c>
      <c r="K11" s="23" t="s">
        <v>92</v>
      </c>
      <c r="L11" s="24">
        <v>0.09</v>
      </c>
      <c r="M11" s="38">
        <f t="shared" si="2"/>
        <v>164850000</v>
      </c>
      <c r="N11" s="38">
        <f t="shared" si="3"/>
        <v>14836500</v>
      </c>
      <c r="O11" s="38">
        <f t="shared" si="4"/>
        <v>179686500</v>
      </c>
    </row>
    <row r="12" spans="2:16" x14ac:dyDescent="0.35">
      <c r="B12" s="26"/>
      <c r="C12" s="1"/>
      <c r="D12" s="1" t="s">
        <v>91</v>
      </c>
      <c r="E12" s="2"/>
      <c r="F12" s="20"/>
      <c r="G12" s="20"/>
      <c r="H12" s="35">
        <f t="shared" si="0"/>
        <v>0</v>
      </c>
      <c r="I12" s="35">
        <f t="shared" si="1"/>
        <v>0</v>
      </c>
      <c r="J12" s="2"/>
      <c r="K12" s="23"/>
      <c r="L12" s="24"/>
      <c r="M12" s="38">
        <f t="shared" si="2"/>
        <v>0</v>
      </c>
      <c r="N12" s="38">
        <f t="shared" si="3"/>
        <v>0</v>
      </c>
      <c r="O12" s="38">
        <f t="shared" si="4"/>
        <v>0</v>
      </c>
    </row>
    <row r="13" spans="2:16" x14ac:dyDescent="0.35">
      <c r="B13" s="26" t="s">
        <v>93</v>
      </c>
      <c r="C13" s="1" t="s">
        <v>94</v>
      </c>
      <c r="D13" s="1" t="s">
        <v>90</v>
      </c>
      <c r="E13" s="2">
        <v>20</v>
      </c>
      <c r="F13" s="20">
        <v>775000</v>
      </c>
      <c r="G13" s="20">
        <v>785000</v>
      </c>
      <c r="H13" s="35">
        <f t="shared" si="0"/>
        <v>10000</v>
      </c>
      <c r="I13" s="35">
        <f t="shared" si="1"/>
        <v>200000</v>
      </c>
      <c r="J13" s="2">
        <v>90</v>
      </c>
      <c r="K13" s="23">
        <v>46488</v>
      </c>
      <c r="L13" s="24">
        <v>0.09</v>
      </c>
      <c r="M13" s="38">
        <f t="shared" si="2"/>
        <v>15700000</v>
      </c>
      <c r="N13" s="38">
        <f t="shared" si="3"/>
        <v>1413000</v>
      </c>
      <c r="O13" s="38">
        <f t="shared" si="4"/>
        <v>17113000</v>
      </c>
      <c r="P13" s="39">
        <f>O13/E13</f>
        <v>855650</v>
      </c>
    </row>
    <row r="14" spans="2:16" x14ac:dyDescent="0.35">
      <c r="B14" s="26"/>
      <c r="C14" s="1"/>
      <c r="D14" s="1" t="s">
        <v>91</v>
      </c>
      <c r="E14" s="2"/>
      <c r="F14" s="20"/>
      <c r="G14" s="20"/>
      <c r="H14" s="35">
        <f t="shared" si="0"/>
        <v>0</v>
      </c>
      <c r="I14" s="35">
        <f t="shared" si="1"/>
        <v>0</v>
      </c>
      <c r="J14" s="2"/>
      <c r="K14" s="23"/>
      <c r="L14" s="24"/>
      <c r="M14" s="38">
        <f t="shared" si="2"/>
        <v>0</v>
      </c>
      <c r="N14" s="38">
        <f t="shared" si="3"/>
        <v>0</v>
      </c>
      <c r="O14" s="38">
        <f t="shared" si="4"/>
        <v>0</v>
      </c>
    </row>
    <row r="15" spans="2:16" x14ac:dyDescent="0.35">
      <c r="B15" s="26" t="s">
        <v>61</v>
      </c>
      <c r="C15" s="1" t="s">
        <v>60</v>
      </c>
      <c r="D15" s="1" t="s">
        <v>90</v>
      </c>
      <c r="E15" s="2">
        <v>60</v>
      </c>
      <c r="F15" s="20">
        <v>775000</v>
      </c>
      <c r="G15" s="20">
        <v>785000</v>
      </c>
      <c r="H15" s="35">
        <f t="shared" si="0"/>
        <v>10000</v>
      </c>
      <c r="I15" s="35">
        <f t="shared" si="1"/>
        <v>600000</v>
      </c>
      <c r="J15" s="2">
        <v>90</v>
      </c>
      <c r="K15" s="23">
        <v>46497</v>
      </c>
      <c r="L15" s="24">
        <v>0.09</v>
      </c>
      <c r="M15" s="38">
        <f t="shared" si="2"/>
        <v>47100000</v>
      </c>
      <c r="N15" s="38">
        <f t="shared" si="3"/>
        <v>4239000</v>
      </c>
      <c r="O15" s="38">
        <f t="shared" si="4"/>
        <v>51339000</v>
      </c>
    </row>
    <row r="16" spans="2:16" x14ac:dyDescent="0.35">
      <c r="B16" s="26"/>
      <c r="C16" s="2"/>
      <c r="D16" s="1" t="s">
        <v>91</v>
      </c>
      <c r="E16" s="2"/>
      <c r="F16" s="20"/>
      <c r="G16" s="20"/>
      <c r="H16" s="35">
        <f t="shared" si="0"/>
        <v>0</v>
      </c>
      <c r="I16" s="35">
        <f t="shared" si="1"/>
        <v>0</v>
      </c>
      <c r="J16" s="2"/>
      <c r="K16" s="23"/>
      <c r="L16" s="24"/>
      <c r="M16" s="38">
        <f t="shared" si="2"/>
        <v>0</v>
      </c>
      <c r="N16" s="38">
        <f t="shared" si="3"/>
        <v>0</v>
      </c>
      <c r="O16" s="38">
        <f t="shared" si="4"/>
        <v>0</v>
      </c>
    </row>
    <row r="17" spans="2:16" x14ac:dyDescent="0.35">
      <c r="B17" s="26" t="s">
        <v>95</v>
      </c>
      <c r="C17" s="1" t="s">
        <v>68</v>
      </c>
      <c r="D17" s="1" t="s">
        <v>101</v>
      </c>
      <c r="E17" s="2">
        <v>180</v>
      </c>
      <c r="F17" s="20">
        <v>129000</v>
      </c>
      <c r="G17" s="20">
        <v>131000</v>
      </c>
      <c r="H17" s="35">
        <f t="shared" si="0"/>
        <v>2000</v>
      </c>
      <c r="I17" s="35">
        <f t="shared" si="1"/>
        <v>360000</v>
      </c>
      <c r="J17" s="2">
        <v>30</v>
      </c>
      <c r="K17" s="23">
        <v>46186</v>
      </c>
      <c r="L17" s="24"/>
      <c r="M17" s="38">
        <f t="shared" si="2"/>
        <v>23580000</v>
      </c>
      <c r="N17" s="38">
        <f t="shared" si="3"/>
        <v>0</v>
      </c>
      <c r="O17" s="38">
        <f t="shared" si="4"/>
        <v>23580000</v>
      </c>
    </row>
    <row r="18" spans="2:16" x14ac:dyDescent="0.35">
      <c r="B18" s="69" t="s">
        <v>102</v>
      </c>
      <c r="C18" s="1" t="s">
        <v>103</v>
      </c>
      <c r="D18" s="1" t="s">
        <v>104</v>
      </c>
      <c r="E18" s="2">
        <v>30</v>
      </c>
      <c r="F18" s="20">
        <v>651000</v>
      </c>
      <c r="G18" s="20">
        <v>661000</v>
      </c>
      <c r="H18" s="35">
        <f t="shared" si="0"/>
        <v>10000</v>
      </c>
      <c r="I18" s="35">
        <f t="shared" si="1"/>
        <v>300000</v>
      </c>
      <c r="J18" s="2">
        <v>90</v>
      </c>
      <c r="K18" s="23">
        <v>46507</v>
      </c>
      <c r="L18" s="24">
        <v>0.08</v>
      </c>
      <c r="M18" s="38">
        <f t="shared" si="2"/>
        <v>19830000</v>
      </c>
      <c r="N18" s="38">
        <f t="shared" si="3"/>
        <v>1586400</v>
      </c>
      <c r="O18" s="38">
        <f t="shared" si="4"/>
        <v>21416400</v>
      </c>
      <c r="P18" s="39">
        <f>O18/E18*1.19</f>
        <v>849517.2</v>
      </c>
    </row>
    <row r="19" spans="2:16" x14ac:dyDescent="0.35">
      <c r="B19" s="26" t="s">
        <v>105</v>
      </c>
      <c r="C19" s="2" t="s">
        <v>106</v>
      </c>
      <c r="D19" s="1" t="s">
        <v>104</v>
      </c>
      <c r="E19" s="2">
        <v>30</v>
      </c>
      <c r="F19" s="20">
        <v>651000</v>
      </c>
      <c r="G19" s="20">
        <v>661000</v>
      </c>
      <c r="H19" s="35">
        <f t="shared" si="0"/>
        <v>10000</v>
      </c>
      <c r="I19" s="35">
        <f t="shared" si="1"/>
        <v>300000</v>
      </c>
      <c r="J19" s="2">
        <v>90</v>
      </c>
      <c r="K19" s="23">
        <v>46507</v>
      </c>
      <c r="L19" s="24">
        <v>0.08</v>
      </c>
      <c r="M19" s="38">
        <f t="shared" si="2"/>
        <v>19830000</v>
      </c>
      <c r="N19" s="38">
        <f t="shared" si="3"/>
        <v>1586400</v>
      </c>
      <c r="O19" s="38">
        <f t="shared" si="4"/>
        <v>21416400</v>
      </c>
    </row>
    <row r="20" spans="2:16" x14ac:dyDescent="0.35">
      <c r="B20" s="26" t="s">
        <v>126</v>
      </c>
      <c r="C20" s="1" t="s">
        <v>127</v>
      </c>
      <c r="D20" s="1" t="s">
        <v>128</v>
      </c>
      <c r="E20" s="2">
        <v>20</v>
      </c>
      <c r="F20" s="20">
        <v>765000</v>
      </c>
      <c r="G20" s="20">
        <v>775000</v>
      </c>
      <c r="H20" s="35">
        <f t="shared" si="0"/>
        <v>10000</v>
      </c>
      <c r="I20" s="35">
        <f t="shared" si="1"/>
        <v>200000</v>
      </c>
      <c r="J20" s="2">
        <v>90</v>
      </c>
      <c r="K20" s="23">
        <v>46264</v>
      </c>
      <c r="L20" s="24"/>
      <c r="M20" s="38">
        <f t="shared" si="2"/>
        <v>15500000</v>
      </c>
      <c r="N20" s="21"/>
      <c r="O20" s="38">
        <f t="shared" si="4"/>
        <v>15500000</v>
      </c>
    </row>
    <row r="21" spans="2:16" x14ac:dyDescent="0.35">
      <c r="B21" s="26"/>
      <c r="C21" s="1"/>
      <c r="D21" s="1" t="s">
        <v>129</v>
      </c>
      <c r="E21" s="2">
        <v>6</v>
      </c>
      <c r="F21" s="20">
        <v>647000</v>
      </c>
      <c r="G21" s="20">
        <v>657000</v>
      </c>
      <c r="H21" s="35">
        <f t="shared" si="0"/>
        <v>10000</v>
      </c>
      <c r="I21" s="35">
        <f t="shared" si="1"/>
        <v>60000</v>
      </c>
      <c r="J21" s="2">
        <v>90</v>
      </c>
      <c r="K21" s="23">
        <v>46264</v>
      </c>
      <c r="L21" s="24"/>
      <c r="M21" s="38">
        <f t="shared" si="2"/>
        <v>3942000</v>
      </c>
      <c r="N21" s="21"/>
      <c r="O21" s="38">
        <f t="shared" si="4"/>
        <v>3942000</v>
      </c>
    </row>
    <row r="22" spans="2:16" x14ac:dyDescent="0.35">
      <c r="B22" s="32"/>
      <c r="C22" s="33"/>
      <c r="D22" s="34"/>
      <c r="E22" s="33"/>
      <c r="F22" s="35"/>
      <c r="G22" s="35"/>
      <c r="H22" s="35">
        <f t="shared" si="0"/>
        <v>0</v>
      </c>
      <c r="I22" s="35">
        <f t="shared" si="1"/>
        <v>0</v>
      </c>
      <c r="J22" s="33"/>
      <c r="K22" s="36"/>
      <c r="L22" s="37"/>
      <c r="M22" s="38">
        <f t="shared" si="2"/>
        <v>0</v>
      </c>
      <c r="N22" s="38"/>
      <c r="O22" s="38">
        <f t="shared" si="4"/>
        <v>0</v>
      </c>
    </row>
    <row r="23" spans="2:16" x14ac:dyDescent="0.35">
      <c r="B23" s="32"/>
      <c r="C23" s="34"/>
      <c r="D23" s="34"/>
      <c r="E23" s="33">
        <v>0</v>
      </c>
      <c r="F23" s="35">
        <v>0</v>
      </c>
      <c r="G23" s="35">
        <v>0</v>
      </c>
      <c r="H23" s="35">
        <f t="shared" ref="H23:H30" si="5">G23-F23</f>
        <v>0</v>
      </c>
      <c r="I23" s="35">
        <f t="shared" ref="I23:I30" si="6">H23*E23</f>
        <v>0</v>
      </c>
      <c r="J23" s="33">
        <v>0</v>
      </c>
      <c r="K23" s="36"/>
      <c r="L23" s="37"/>
      <c r="M23" s="38">
        <f t="shared" ref="M23:M30" si="7">G23*E23</f>
        <v>0</v>
      </c>
      <c r="N23" s="38">
        <f t="shared" ref="N23:N30" si="8">M23*L23</f>
        <v>0</v>
      </c>
      <c r="O23" s="38">
        <f t="shared" ref="O23:O30" si="9">M23+N23</f>
        <v>0</v>
      </c>
    </row>
    <row r="24" spans="2:16" x14ac:dyDescent="0.35">
      <c r="B24" s="32"/>
      <c r="C24" s="34"/>
      <c r="D24" s="34"/>
      <c r="E24" s="33">
        <v>0</v>
      </c>
      <c r="F24" s="35">
        <v>0</v>
      </c>
      <c r="G24" s="35">
        <v>0</v>
      </c>
      <c r="H24" s="35">
        <f t="shared" si="5"/>
        <v>0</v>
      </c>
      <c r="I24" s="35">
        <f t="shared" si="6"/>
        <v>0</v>
      </c>
      <c r="J24" s="33">
        <v>0</v>
      </c>
      <c r="K24" s="36"/>
      <c r="L24" s="37"/>
      <c r="M24" s="38">
        <f t="shared" si="7"/>
        <v>0</v>
      </c>
      <c r="N24" s="38">
        <f t="shared" si="8"/>
        <v>0</v>
      </c>
      <c r="O24" s="38">
        <f t="shared" si="9"/>
        <v>0</v>
      </c>
    </row>
    <row r="25" spans="2:16" x14ac:dyDescent="0.35">
      <c r="B25" s="32"/>
      <c r="C25" s="33"/>
      <c r="D25" s="34"/>
      <c r="E25" s="33">
        <v>0</v>
      </c>
      <c r="F25" s="35">
        <v>0</v>
      </c>
      <c r="G25" s="35">
        <v>0</v>
      </c>
      <c r="H25" s="35">
        <f t="shared" si="5"/>
        <v>0</v>
      </c>
      <c r="I25" s="35">
        <f t="shared" si="6"/>
        <v>0</v>
      </c>
      <c r="J25" s="33">
        <v>0</v>
      </c>
      <c r="K25" s="36"/>
      <c r="L25" s="37"/>
      <c r="M25" s="38">
        <f t="shared" si="7"/>
        <v>0</v>
      </c>
      <c r="N25" s="38">
        <f t="shared" si="8"/>
        <v>0</v>
      </c>
      <c r="O25" s="38">
        <f t="shared" si="9"/>
        <v>0</v>
      </c>
    </row>
    <row r="26" spans="2:16" x14ac:dyDescent="0.35">
      <c r="B26" s="32"/>
      <c r="C26" s="34"/>
      <c r="D26" s="34"/>
      <c r="E26" s="33">
        <v>0</v>
      </c>
      <c r="F26" s="35">
        <v>0</v>
      </c>
      <c r="G26" s="35">
        <v>0</v>
      </c>
      <c r="H26" s="35">
        <f t="shared" si="5"/>
        <v>0</v>
      </c>
      <c r="I26" s="35">
        <f t="shared" si="6"/>
        <v>0</v>
      </c>
      <c r="J26" s="33">
        <v>0</v>
      </c>
      <c r="K26" s="36"/>
      <c r="L26" s="37"/>
      <c r="M26" s="38">
        <f t="shared" si="7"/>
        <v>0</v>
      </c>
      <c r="N26" s="38">
        <f t="shared" si="8"/>
        <v>0</v>
      </c>
      <c r="O26" s="38">
        <f t="shared" si="9"/>
        <v>0</v>
      </c>
    </row>
    <row r="27" spans="2:16" x14ac:dyDescent="0.35">
      <c r="B27" s="32"/>
      <c r="C27" s="34"/>
      <c r="D27" s="34"/>
      <c r="E27" s="33">
        <v>0</v>
      </c>
      <c r="F27" s="35">
        <v>0</v>
      </c>
      <c r="G27" s="35">
        <v>0</v>
      </c>
      <c r="H27" s="35">
        <f t="shared" si="5"/>
        <v>0</v>
      </c>
      <c r="I27" s="35">
        <f t="shared" si="6"/>
        <v>0</v>
      </c>
      <c r="J27" s="33">
        <v>0</v>
      </c>
      <c r="K27" s="36"/>
      <c r="L27" s="37"/>
      <c r="M27" s="38">
        <f t="shared" si="7"/>
        <v>0</v>
      </c>
      <c r="N27" s="38">
        <f t="shared" si="8"/>
        <v>0</v>
      </c>
      <c r="O27" s="38">
        <f t="shared" si="9"/>
        <v>0</v>
      </c>
    </row>
    <row r="28" spans="2:16" x14ac:dyDescent="0.35">
      <c r="B28" s="32"/>
      <c r="C28" s="33"/>
      <c r="D28" s="34"/>
      <c r="E28" s="33">
        <v>0</v>
      </c>
      <c r="F28" s="35">
        <v>0</v>
      </c>
      <c r="G28" s="35">
        <v>0</v>
      </c>
      <c r="H28" s="35">
        <f t="shared" si="5"/>
        <v>0</v>
      </c>
      <c r="I28" s="35">
        <f t="shared" si="6"/>
        <v>0</v>
      </c>
      <c r="J28" s="33">
        <v>0</v>
      </c>
      <c r="K28" s="36"/>
      <c r="L28" s="37"/>
      <c r="M28" s="38">
        <f t="shared" si="7"/>
        <v>0</v>
      </c>
      <c r="N28" s="38">
        <f t="shared" si="8"/>
        <v>0</v>
      </c>
      <c r="O28" s="38">
        <f t="shared" si="9"/>
        <v>0</v>
      </c>
    </row>
    <row r="29" spans="2:16" x14ac:dyDescent="0.35">
      <c r="B29" s="32"/>
      <c r="C29" s="34"/>
      <c r="D29" s="34"/>
      <c r="E29" s="33">
        <v>0</v>
      </c>
      <c r="F29" s="35">
        <v>0</v>
      </c>
      <c r="G29" s="35">
        <v>0</v>
      </c>
      <c r="H29" s="35">
        <f t="shared" si="5"/>
        <v>0</v>
      </c>
      <c r="I29" s="35">
        <f t="shared" si="6"/>
        <v>0</v>
      </c>
      <c r="J29" s="33">
        <v>0</v>
      </c>
      <c r="K29" s="36"/>
      <c r="L29" s="37"/>
      <c r="M29" s="38">
        <f t="shared" si="7"/>
        <v>0</v>
      </c>
      <c r="N29" s="38">
        <f t="shared" si="8"/>
        <v>0</v>
      </c>
      <c r="O29" s="38">
        <f t="shared" si="9"/>
        <v>0</v>
      </c>
    </row>
    <row r="30" spans="2:16" x14ac:dyDescent="0.35">
      <c r="B30" s="32"/>
      <c r="C30" s="34"/>
      <c r="D30" s="34"/>
      <c r="E30" s="33">
        <v>0</v>
      </c>
      <c r="F30" s="35">
        <v>0</v>
      </c>
      <c r="G30" s="35">
        <v>0</v>
      </c>
      <c r="H30" s="35">
        <f t="shared" si="5"/>
        <v>0</v>
      </c>
      <c r="I30" s="35">
        <f t="shared" si="6"/>
        <v>0</v>
      </c>
      <c r="J30" s="33">
        <v>0</v>
      </c>
      <c r="K30" s="36"/>
      <c r="L30" s="37"/>
      <c r="M30" s="38">
        <f t="shared" si="7"/>
        <v>0</v>
      </c>
      <c r="N30" s="38">
        <f t="shared" si="8"/>
        <v>0</v>
      </c>
      <c r="O30" s="38">
        <f t="shared" si="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8FC4B-EB20-4BC9-99D2-3DA5A0E44A8A}">
  <dimension ref="A1:N3"/>
  <sheetViews>
    <sheetView zoomScale="80" zoomScaleNormal="80" workbookViewId="0">
      <selection activeCell="G10" sqref="G10"/>
    </sheetView>
  </sheetViews>
  <sheetFormatPr baseColWidth="10" defaultRowHeight="14.5" x14ac:dyDescent="0.35"/>
  <cols>
    <col min="1" max="1" width="21" bestFit="1" customWidth="1"/>
    <col min="3" max="3" width="19.6328125" bestFit="1" customWidth="1"/>
    <col min="4" max="4" width="13.26953125" bestFit="1" customWidth="1"/>
    <col min="8" max="8" width="16.453125" bestFit="1" customWidth="1"/>
    <col min="9" max="9" width="17.26953125" bestFit="1" customWidth="1"/>
    <col min="10" max="10" width="15" bestFit="1" customWidth="1"/>
    <col min="12" max="12" width="16" bestFit="1" customWidth="1"/>
    <col min="14" max="14" width="16.453125" bestFit="1" customWidth="1"/>
  </cols>
  <sheetData>
    <row r="1" spans="1:14" x14ac:dyDescent="0.35">
      <c r="A1" s="3" t="s">
        <v>1</v>
      </c>
      <c r="B1" s="3" t="s">
        <v>22</v>
      </c>
      <c r="C1" s="3" t="s">
        <v>0</v>
      </c>
      <c r="D1" s="3" t="s">
        <v>79</v>
      </c>
      <c r="E1" s="3" t="s">
        <v>20</v>
      </c>
      <c r="F1" s="3" t="s">
        <v>2</v>
      </c>
      <c r="G1" s="25" t="s">
        <v>28</v>
      </c>
      <c r="H1" s="25" t="s">
        <v>29</v>
      </c>
      <c r="I1" s="3" t="s">
        <v>25</v>
      </c>
      <c r="J1" s="3" t="s">
        <v>26</v>
      </c>
      <c r="K1" s="3" t="s">
        <v>31</v>
      </c>
      <c r="L1" s="3" t="s">
        <v>30</v>
      </c>
      <c r="M1" s="3" t="s">
        <v>33</v>
      </c>
      <c r="N1" s="3" t="s">
        <v>27</v>
      </c>
    </row>
    <row r="2" spans="1:14" x14ac:dyDescent="0.35">
      <c r="A2" s="26" t="s">
        <v>126</v>
      </c>
      <c r="B2" s="1" t="s">
        <v>127</v>
      </c>
      <c r="C2" s="1" t="s">
        <v>128</v>
      </c>
      <c r="D2" s="2">
        <v>20</v>
      </c>
      <c r="E2" s="20">
        <v>765000</v>
      </c>
      <c r="F2" s="20">
        <v>775000</v>
      </c>
      <c r="G2" s="35">
        <f t="shared" ref="G2:G3" si="0">F2-E2</f>
        <v>10000</v>
      </c>
      <c r="H2" s="35">
        <f t="shared" ref="H2:H3" si="1">G2*D2</f>
        <v>200000</v>
      </c>
      <c r="I2" s="2">
        <v>90</v>
      </c>
      <c r="J2" s="23">
        <v>46264</v>
      </c>
      <c r="K2" s="24"/>
      <c r="L2" s="38">
        <f t="shared" ref="L2:L3" si="2">F2*D2</f>
        <v>15500000</v>
      </c>
      <c r="M2" s="21"/>
      <c r="N2" s="38">
        <f t="shared" ref="N2:N3" si="3">L2+M2</f>
        <v>15500000</v>
      </c>
    </row>
    <row r="3" spans="1:14" x14ac:dyDescent="0.35">
      <c r="A3" s="26"/>
      <c r="B3" s="1"/>
      <c r="C3" s="1" t="s">
        <v>129</v>
      </c>
      <c r="D3" s="2">
        <v>6</v>
      </c>
      <c r="E3" s="20">
        <v>647000</v>
      </c>
      <c r="F3" s="20">
        <v>657000</v>
      </c>
      <c r="G3" s="35">
        <f t="shared" si="0"/>
        <v>10000</v>
      </c>
      <c r="H3" s="35">
        <f t="shared" si="1"/>
        <v>60000</v>
      </c>
      <c r="I3" s="2">
        <v>90</v>
      </c>
      <c r="J3" s="23">
        <v>46264</v>
      </c>
      <c r="K3" s="24"/>
      <c r="L3" s="38">
        <f t="shared" si="2"/>
        <v>3942000</v>
      </c>
      <c r="M3" s="21"/>
      <c r="N3" s="38">
        <f t="shared" si="3"/>
        <v>3942000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FERT CNA 2025</vt:lpstr>
      <vt:lpstr>RESUMEN PAGOS 2025</vt:lpstr>
      <vt:lpstr>FERT CNA 2026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Niklitschek Coronado</dc:creator>
  <cp:lastModifiedBy>ambar niklitschek</cp:lastModifiedBy>
  <cp:lastPrinted>2021-05-14T21:47:02Z</cp:lastPrinted>
  <dcterms:created xsi:type="dcterms:W3CDTF">2021-05-13T13:27:56Z</dcterms:created>
  <dcterms:modified xsi:type="dcterms:W3CDTF">2026-05-28T12:12:10Z</dcterms:modified>
</cp:coreProperties>
</file>